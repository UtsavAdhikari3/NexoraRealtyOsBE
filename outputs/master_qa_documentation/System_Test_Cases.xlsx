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01e7cfafb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est_Summary" sheetId="1" r:id="Rcd5d756879c243e0"/>
    <x:sheet xmlns:r="http://schemas.openxmlformats.org/officeDocument/2006/relationships" name="01_Auth_Access" sheetId="2" r:id="Rd9ba0b7f7f2e4350"/>
    <x:sheet xmlns:r="http://schemas.openxmlformats.org/officeDocument/2006/relationships" name="02_Agency_Settings" sheetId="3" r:id="R33c0fe2b234142e5"/>
    <x:sheet xmlns:r="http://schemas.openxmlformats.org/officeDocument/2006/relationships" name="03_Team_Agents" sheetId="4" r:id="R417767319280420c"/>
    <x:sheet xmlns:r="http://schemas.openxmlformats.org/officeDocument/2006/relationships" name="04_Property_Core" sheetId="5" r:id="R19029342c89f4818"/>
    <x:sheet xmlns:r="http://schemas.openxmlformats.org/officeDocument/2006/relationships" name="05_Nepal_Property" sheetId="6" r:id="R3dc1109996b24c9c"/>
    <x:sheet xmlns:r="http://schemas.openxmlformats.org/officeDocument/2006/relationships" name="06_Property_Media" sheetId="7" r:id="R19e952af939d4be4"/>
    <x:sheet xmlns:r="http://schemas.openxmlformats.org/officeDocument/2006/relationships" name="07_Verification" sheetId="8" r:id="Rd12fb8a741ec412b"/>
    <x:sheet xmlns:r="http://schemas.openxmlformats.org/officeDocument/2006/relationships" name="08_Freshness_Trust" sheetId="9" r:id="R8ae9255452e644a3"/>
    <x:sheet xmlns:r="http://schemas.openxmlformats.org/officeDocument/2006/relationships" name="09_Distribution" sheetId="10" r:id="R6cb6c98f36d04ea6"/>
    <x:sheet xmlns:r="http://schemas.openxmlformats.org/officeDocument/2006/relationships" name="10_Public_Storefront" sheetId="11" r:id="R6e36e123772642d7"/>
    <x:sheet xmlns:r="http://schemas.openxmlformats.org/officeDocument/2006/relationships" name="11_Leads" sheetId="12" r:id="Re8ec4da505d94118"/>
    <x:sheet xmlns:r="http://schemas.openxmlformats.org/officeDocument/2006/relationships" name="12_Lead_Automation" sheetId="13" r:id="R08c99d36d7844e76"/>
    <x:sheet xmlns:r="http://schemas.openxmlformats.org/officeDocument/2006/relationships" name="13_Unified_Inbox" sheetId="14" r:id="R78215f67e88a47ab"/>
    <x:sheet xmlns:r="http://schemas.openxmlformats.org/officeDocument/2006/relationships" name="14_Site_Visits" sheetId="15" r:id="R1088d4f4102b4c69"/>
    <x:sheet xmlns:r="http://schemas.openxmlformats.org/officeDocument/2006/relationships" name="15_Contacts_Owners" sheetId="16" r:id="R84e7d0f5cca246ce"/>
    <x:sheet xmlns:r="http://schemas.openxmlformats.org/officeDocument/2006/relationships" name="16_Deals_Offers" sheetId="17" r:id="R72e6830c26964d9d"/>
    <x:sheet xmlns:r="http://schemas.openxmlformats.org/officeDocument/2006/relationships" name="17_Leases_Docs" sheetId="18" r:id="Rbeb516958bd14987"/>
    <x:sheet xmlns:r="http://schemas.openxmlformats.org/officeDocument/2006/relationships" name="18_Tasks_Notifications" sheetId="19" r:id="R4ea05999c2df47ea"/>
    <x:sheet xmlns:r="http://schemas.openxmlformats.org/officeDocument/2006/relationships" name="19_Appointments" sheetId="20" r:id="R4d1d529dbb8a482f"/>
    <x:sheet xmlns:r="http://schemas.openxmlformats.org/officeDocument/2006/relationships" name="20_Customer_Portal" sheetId="21" r:id="Rb12bf6ab22c34821"/>
    <x:sheet xmlns:r="http://schemas.openxmlformats.org/officeDocument/2006/relationships" name="21_Website_Content" sheetId="22" r:id="Rd48d24d9917346f7"/>
    <x:sheet xmlns:r="http://schemas.openxmlformats.org/officeDocument/2006/relationships" name="22_Social_Media" sheetId="23" r:id="Rf7ab1269cbf143fb"/>
    <x:sheet xmlns:r="http://schemas.openxmlformats.org/officeDocument/2006/relationships" name="23_Reports_Matching" sheetId="24" r:id="R9ceae48873e445c7"/>
    <x:sheet xmlns:r="http://schemas.openxmlformats.org/officeDocument/2006/relationships" name="24_Subscriptions" sheetId="25" r:id="R0ab82ce48c974b65"/>
    <x:sheet xmlns:r="http://schemas.openxmlformats.org/officeDocument/2006/relationships" name="25_Platform_Admin" sheetId="26" r:id="R0cbec1ff04a34ac4"/>
    <x:sheet xmlns:r="http://schemas.openxmlformats.org/officeDocument/2006/relationships" name="26_Localization" sheetId="27" r:id="R9de8a403340940af"/>
    <x:sheet xmlns:r="http://schemas.openxmlformats.org/officeDocument/2006/relationships" name="27_Background_Jobs" sheetId="28" r:id="Re6ef24427b8c49b8"/>
    <x:sheet xmlns:r="http://schemas.openxmlformats.org/officeDocument/2006/relationships" name="28_Security" sheetId="29" r:id="R434446a546fe476f"/>
    <x:sheet xmlns:r="http://schemas.openxmlformats.org/officeDocument/2006/relationships" name="29_End_to_End" sheetId="30" r:id="R76ff5bf47d1e4464"/>
    <x:sheet xmlns:r="http://schemas.openxmlformats.org/officeDocument/2006/relationships" name="30_Regression" sheetId="31" r:id="R003d938a103e48a8"/>
    <x:sheet xmlns:r="http://schemas.openxmlformats.org/officeDocument/2006/relationships" name="31_Edge_Concurrency" sheetId="32" r:id="Rc131e845fb6d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5D6B78"/>
      <x:name val="Aptos"/>
    </x:font>
    <x:font>
      <x:b/>
      <x:sz val="11"/>
      <x:color rgb="FFFFFFFF"/>
      <x:name val="Carlito"/>
    </x:font>
    <x:font>
      <x:b/>
      <x:sz val="11"/>
      <x:color rgb="FF17212B"/>
      <x:name val="Carlito"/>
    </x:font>
    <x:font>
      <x:b/>
      <x:sz val="10"/>
      <x:color rgb="FFFFFFFF"/>
      <x:name val="Carlito"/>
    </x:font>
    <x:font>
      <x:b/>
      <x:sz val="10"/>
      <x:color rgb="FFFFFFFF"/>
      <x:name val="Aptos"/>
    </x:font>
    <x:font>
      <x:sz val="9"/>
      <x:color rgb="FF17212B"/>
      <x:name val="Aptos"/>
    </x:font>
    <x:font>
      <x:b/>
      <x:sz val="9"/>
      <x:color rgb="FF246B8E"/>
      <x:name val="Aptos"/>
    </x:font>
    <x:font>
      <x:b/>
      <x:sz val="11"/>
      <x:color rgb="FF6B4100"/>
      <x:name val="Carlito"/>
    </x:font>
    <x:font>
      <x:sz val="10"/>
      <x:color rgb="FF1721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5F8"/>
      </x:patternFill>
    </x:fill>
    <x:fill>
      <x:patternFill patternType="solid">
        <x:fgColor rgb="FF246B8E"/>
      </x:patternFill>
    </x:fill>
    <x:fill>
      <x:patternFill patternType="solid">
        <x:fgColor rgb="FFFCE8CC"/>
      </x:patternFill>
    </x:fill>
    <x:fill>
      <x:patternFill patternType="solid">
        <x:fgColor rgb="FFFFF9ED"/>
      </x:patternFill>
    </x:fill>
  </x:fills>
  <x:borders count="13">
    <x:border/>
    <x:border>
      <x:left style="thin">
        <x:color rgb="FFCCD8E0"/>
      </x:left>
      <x:top style="thin">
        <x:color rgb="FFCCD8E0"/>
      </x:top>
      <x:bottom style="thin">
        <x:color rgb="FFCCD8E0"/>
      </x:bottom>
    </x:border>
    <x:border>
      <x:top style="thin">
        <x:color rgb="FFCCD8E0"/>
      </x:top>
      <x:bottom style="thin">
        <x:color rgb="FFCCD8E0"/>
      </x:bottom>
    </x:border>
    <x:border>
      <x:right style="thin">
        <x:color rgb="FFCCD8E0"/>
      </x:right>
      <x:top style="thin">
        <x:color rgb="FFCCD8E0"/>
      </x:top>
      <x:bottom style="thin">
        <x:color rgb="FFCCD8E0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4EBEF"/>
      </x:bottom>
    </x:border>
    <x:border>
      <x:top style="thin">
        <x:color rgb="FFE4EBEF"/>
      </x:top>
      <x:bottom style="thin">
        <x:color rgb="FFE4EBEF"/>
      </x:bottom>
    </x:border>
    <x:border>
      <x:top style="thin">
        <x:color rgb="FFE4EBEF"/>
      </x:top>
    </x:border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horizontal="center" wrapText="1"/>
    </x:xf>
    <x:xf numFmtId="0" fontId="6" fillId="4" borderId="5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horizontal="center" vertical="top" wrapText="1"/>
    </x:xf>
    <x:xf numFmtId="0" fontId="7" fillId="0" borderId="8" xfId="0" applyNumberFormat="1" applyFont="1" applyFill="1" applyBorder="1" applyAlignment="1">
      <x:alignment horizontal="center" vertical="top" wrapText="1"/>
    </x:xf>
    <x:xf numFmtId="0" fontId="7" fillId="0" borderId="9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horizontal="center"/>
    </x:xf>
  </x:cellXfs>
  <x:cellStyles count="1">
    <x:cellStyle name="Normal" xfId="0"/>
  </x:cellStyles>
  <x:dxfs count="253"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665200"/>
      </x:font>
      <x:fill>
        <x:patternFill patternType="solid">
          <x:bgColor rgb="FFFFF4CC"/>
        </x:patternFill>
      </x:fill>
    </x:dxf>
    <x:dxf>
      <x:font>
        <x:color rgb="FF235C34"/>
      </x:font>
      <x:fill>
        <x:patternFill patternType="solid">
          <x:bgColor rgb="FFDFF1E3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  <x:dxf>
      <x:font>
        <x:b/>
        <x:color rgb="FF235C34"/>
      </x:font>
      <x:fill>
        <x:patternFill patternType="solid">
          <x:bgColor rgb="FFDFF1E3"/>
        </x:patternFill>
      </x:fill>
    </x:dxf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8A4B08"/>
      </x:font>
      <x:fill>
        <x:patternFill patternType="solid">
          <x:bgColor rgb="FFFCE8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9f1a66b224693" /><Relationship Type="http://schemas.openxmlformats.org/officeDocument/2006/relationships/theme" Target="/xl/theme/theme1.xml" Id="R6e756691b28c4f87" /><Relationship Type="http://schemas.openxmlformats.org/officeDocument/2006/relationships/sharedStrings" Target="/xl/sharedStrings.xml" Id="R346857073de14923" /><Relationship Type="http://schemas.openxmlformats.org/officeDocument/2006/relationships/worksheet" Target="/xl/worksheets/sheet1.xml" Id="Rcd5d756879c243e0" /><Relationship Type="http://schemas.openxmlformats.org/officeDocument/2006/relationships/worksheet" Target="/xl/worksheets/sheet2.xml" Id="Rd9ba0b7f7f2e4350" /><Relationship Type="http://schemas.openxmlformats.org/officeDocument/2006/relationships/worksheet" Target="/xl/worksheets/sheet3.xml" Id="R33c0fe2b234142e5" /><Relationship Type="http://schemas.openxmlformats.org/officeDocument/2006/relationships/worksheet" Target="/xl/worksheets/sheet4.xml" Id="R417767319280420c" /><Relationship Type="http://schemas.openxmlformats.org/officeDocument/2006/relationships/worksheet" Target="/xl/worksheets/sheet5.xml" Id="R19029342c89f4818" /><Relationship Type="http://schemas.openxmlformats.org/officeDocument/2006/relationships/worksheet" Target="/xl/worksheets/sheet6.xml" Id="R3dc1109996b24c9c" /><Relationship Type="http://schemas.openxmlformats.org/officeDocument/2006/relationships/worksheet" Target="/xl/worksheets/sheet7.xml" Id="R19e952af939d4be4" /><Relationship Type="http://schemas.openxmlformats.org/officeDocument/2006/relationships/worksheet" Target="/xl/worksheets/sheet8.xml" Id="Rd12fb8a741ec412b" /><Relationship Type="http://schemas.openxmlformats.org/officeDocument/2006/relationships/worksheet" Target="/xl/worksheets/sheet9.xml" Id="R8ae9255452e644a3" /><Relationship Type="http://schemas.openxmlformats.org/officeDocument/2006/relationships/worksheet" Target="/xl/worksheets/sheet10.xml" Id="R6cb6c98f36d04ea6" /><Relationship Type="http://schemas.openxmlformats.org/officeDocument/2006/relationships/worksheet" Target="/xl/worksheets/sheet11.xml" Id="R6e36e123772642d7" /><Relationship Type="http://schemas.openxmlformats.org/officeDocument/2006/relationships/worksheet" Target="/xl/worksheets/sheet12.xml" Id="Re8ec4da505d94118" /><Relationship Type="http://schemas.openxmlformats.org/officeDocument/2006/relationships/worksheet" Target="/xl/worksheets/sheet13.xml" Id="R08c99d36d7844e76" /><Relationship Type="http://schemas.openxmlformats.org/officeDocument/2006/relationships/worksheet" Target="/xl/worksheets/sheet14.xml" Id="R78215f67e88a47ab" /><Relationship Type="http://schemas.openxmlformats.org/officeDocument/2006/relationships/worksheet" Target="/xl/worksheets/sheet15.xml" Id="R1088d4f4102b4c69" /><Relationship Type="http://schemas.openxmlformats.org/officeDocument/2006/relationships/worksheet" Target="/xl/worksheets/sheet16.xml" Id="R84e7d0f5cca246ce" /><Relationship Type="http://schemas.openxmlformats.org/officeDocument/2006/relationships/worksheet" Target="/xl/worksheets/sheet17.xml" Id="R72e6830c26964d9d" /><Relationship Type="http://schemas.openxmlformats.org/officeDocument/2006/relationships/worksheet" Target="/xl/worksheets/sheet18.xml" Id="Rbeb516958bd14987" /><Relationship Type="http://schemas.openxmlformats.org/officeDocument/2006/relationships/worksheet" Target="/xl/worksheets/sheet19.xml" Id="R4ea05999c2df47ea" /><Relationship Type="http://schemas.openxmlformats.org/officeDocument/2006/relationships/worksheet" Target="/xl/worksheets/sheet20.xml" Id="R4d1d529dbb8a482f" /><Relationship Type="http://schemas.openxmlformats.org/officeDocument/2006/relationships/worksheet" Target="/xl/worksheets/sheet21.xml" Id="Rb12bf6ab22c34821" /><Relationship Type="http://schemas.openxmlformats.org/officeDocument/2006/relationships/worksheet" Target="/xl/worksheets/sheet22.xml" Id="Rd48d24d9917346f7" /><Relationship Type="http://schemas.openxmlformats.org/officeDocument/2006/relationships/worksheet" Target="/xl/worksheets/sheet23.xml" Id="Rf7ab1269cbf143fb" /><Relationship Type="http://schemas.openxmlformats.org/officeDocument/2006/relationships/worksheet" Target="/xl/worksheets/sheet24.xml" Id="R9ceae48873e445c7" /><Relationship Type="http://schemas.openxmlformats.org/officeDocument/2006/relationships/worksheet" Target="/xl/worksheets/sheet25.xml" Id="R0ab82ce48c974b65" /><Relationship Type="http://schemas.openxmlformats.org/officeDocument/2006/relationships/worksheet" Target="/xl/worksheets/sheet26.xml" Id="R0cbec1ff04a34ac4" /><Relationship Type="http://schemas.openxmlformats.org/officeDocument/2006/relationships/worksheet" Target="/xl/worksheets/sheet27.xml" Id="R9de8a403340940af" /><Relationship Type="http://schemas.openxmlformats.org/officeDocument/2006/relationships/worksheet" Target="/xl/worksheets/sheet28.xml" Id="Re6ef24427b8c49b8" /><Relationship Type="http://schemas.openxmlformats.org/officeDocument/2006/relationships/worksheet" Target="/xl/worksheets/sheet29.xml" Id="R434446a546fe476f" /><Relationship Type="http://schemas.openxmlformats.org/officeDocument/2006/relationships/worksheet" Target="/xl/worksheets/sheet30.xml" Id="R76ff5bf47d1e4464" /><Relationship Type="http://schemas.openxmlformats.org/officeDocument/2006/relationships/worksheet" Target="/xl/worksheets/sheet31.xml" Id="R003d938a103e48a8" /><Relationship Type="http://schemas.openxmlformats.org/officeDocument/2006/relationships/worksheet" Target="/xl/worksheets/sheet32.xml" Id="Rc131e845fb6d44a3" /></Relationships>
</file>

<file path=xl/tables/table1.xml><?xml version="1.0" encoding="utf-8"?>
<x:table xmlns:x="http://schemas.openxmlformats.org/spreadsheetml/2006/main" id="32" name="T_Test_Summary" displayName="T_Test_Summary" ref="A7:J38" headerRowCount="1" totalsRowCount="0" totalsRowShown="0">
  <x:tableColumns count="10">
    <x:tableColumn id="1" name="Module / Feature"/>
    <x:tableColumn id="2" name="Number of Test Cases"/>
    <x:tableColumn id="3" name="Positive Cases"/>
    <x:tableColumn id="4" name="Negative Cases"/>
    <x:tableColumn id="5" name="Edge Cases"/>
    <x:tableColumn id="6" name="Security Cases"/>
    <x:tableColumn id="7" name="Integration Cases"/>
    <x:tableColumn id="8" name="Priority"/>
    <x:tableColumn id="9" name="Testing 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_01_Auth_Access" displayName="T_01_Auth_Access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_02_Agency_Settings" displayName="T_02_Agency_Settings" ref="A4:Z15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_03_Team_Agents" displayName="T_03_Team_Agents" ref="A4:Z15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_04_Property_Core" displayName="T_04_Property_Core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_05_Nepal_Property" displayName="T_05_Nepal_Property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_06_Property_Media" displayName="T_06_Property_Media" ref="A4:Z15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_07_Verification" displayName="T_07_Verification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_08_Freshness_Trust" displayName="T_08_Freshness_Trust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_09_Distribution" displayName="T_09_Distribution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_10_Public_Storefront" displayName="T_10_Public_Storefront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_11_Leads" displayName="T_11_Leads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_12_Lead_Automation" displayName="T_12_Lead_Automation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_13_Unified_Inbox" displayName="T_13_Unified_Inbox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_14_Site_Visits" displayName="T_14_Site_Visits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T_15_Contacts_Owners" displayName="T_15_Contacts_Owners" ref="A4:Z15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T_16_Deals_Offers" displayName="T_16_Deals_Offers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T_17_Leases_Docs" displayName="T_17_Leases_Docs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T_18_Tasks_Notifications" displayName="T_18_Tasks_Notifications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T_19_Appointments" displayName="T_19_Appointments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T_20_Customer_Portal" displayName="T_20_Customer_Portal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T_21_Website_Content" displayName="T_21_Website_Content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T_22_Social_Media" displayName="T_22_Social_Media" ref="A4:Z17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T_23_Reports_Matching" displayName="T_23_Reports_Matching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T_24_Subscriptions" displayName="T_24_Subscriptions" ref="A4:Z17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5" name="T_25_Platform_Admin" displayName="T_25_Platform_Admin" ref="A4:Z15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6" name="T_26_Localization" displayName="T_26_Localization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7" name="T_27_Background_Jobs" displayName="T_27_Background_Jobs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8" name="T_28_Security" displayName="T_28_Security" ref="A4:Z28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9" name="T_29_End_to_End" displayName="T_29_End_to_End" ref="A4:Z16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0" name="T_30_Regression" displayName="T_30_Regression" ref="A4:Z32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1" name="T_31_Edge_Concurrency" displayName="T_31_Edge_Concurrency" ref="A4:Z20" headerRowCount="1" totalsRowCount="0" totalsRowShown="0">
  <x:tableColumns count="26">
    <x:tableColumn id="1" name="Test Case ID"/>
    <x:tableColumn id="2" name="Module"/>
    <x:tableColumn id="3" name="Feature"/>
    <x:tableColumn id="4" name="Sub Feature"/>
    <x:tableColumn id="5" name="Test Scenario"/>
    <x:tableColumn id="6" name="Test Case Title"/>
    <x:tableColumn id="7" name="Test Type"/>
    <x:tableColumn id="8" name="Priority"/>
    <x:tableColumn id="9" name="Severity"/>
    <x:tableColumn id="10" name="User Role"/>
    <x:tableColumn id="11" name="Preconditions"/>
    <x:tableColumn id="12" name="Required Test Data"/>
    <x:tableColumn id="13" name="Environment / Setup"/>
    <x:tableColumn id="14" name="Steps"/>
    <x:tableColumn id="15" name="Expected Result"/>
    <x:tableColumn id="16" name="Expected Database Impact"/>
    <x:tableColumn id="17" name="Expected API Behavior"/>
    <x:tableColumn id="18" name="Expected UI Behavior"/>
    <x:tableColumn id="19" name="Expected Side Effects"/>
    <x:tableColumn id="20" name="Related Features"/>
    <x:tableColumn id="21" name="Postconditions"/>
    <x:tableColumn id="22" name="Actual Result"/>
    <x:tableColumn id="23" name="Status"/>
    <x:tableColumn id="24" name="Bug / Issue ID"/>
    <x:tableColumn id="25" name="Automation Candidate"/>
    <x:tableColumn id="2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02e557f33649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507bfff5434e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31dd3136d544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62523c5d034f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fde54ccb16d48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3f933ea7aca4a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a089c44b38f4d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6adc67bf95a4c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d09728d1a6142e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3a74702372d4d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262d03490c442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1b7b248ef154c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61db4067c114fb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97d3d7c4f5a4b9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8ad8766f02d481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3112452c57d4c8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04bc25efc934d7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2cebf3914d4e41c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a2f1771850b6457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7f55976ecc174ec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38dd0192bdd840a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c3b417f0b6c402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815f520add29472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ac23c197472b404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34915fe2fa2b427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1aad518f3993481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78c48c11dbd3411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160028c5fb10410d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933b7a60c6d142b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4a107b19d2414f00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ad2c434d0a974937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35a4dd5a89094f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0" hidden="0" customWidth="1"/>
    <x:col min="9" max="9" width="14" hidden="0" customWidth="1"/>
    <x:col min="10" max="10" width="78" hidden="0" customWidth="1"/>
  </x:cols>
  <x:sheetData>
    <x:row r="1" ht="32" customHeight="1">
      <x:c r="A1" s="4" t="str">
        <x:v>Nexora RealtyOS - System Test Repository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Generated 2026-08-09 from the Django backend, React agency dashboard and Next.js public storefront. Property transaction payments are out of scope; Stripe coverage is SaaS agency subscription billing only.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>
      <x:c r="A4" s="11" t="str">
        <x:v>Execution Overview</x:v>
      </x:c>
      <x:c r="B4" s="11"/>
      <x:c r="C4" s="11"/>
      <x:c r="D4" s="11"/>
      <x:c r="E4" s="11"/>
      <x:c r="F4" s="11"/>
      <x:c r="G4" s="11"/>
      <x:c r="H4" s="11"/>
      <x:c r="I4" s="11"/>
      <x:c r="J4" s="11"/>
    </x:row>
    <x:row r="5" ht="28" customHeight="1">
      <x:c r="A5" s="19" t="str">
        <x:v>Total Cases</x:v>
      </x:c>
      <x:c r="B5" s="20" t="n">
        <x:v>401</x:v>
      </x:c>
      <x:c r="C5" s="20" t="str">
        <x:v>P0</x:v>
      </x:c>
      <x:c r="D5" s="20" t="n">
        <x:v>246</x:v>
      </x:c>
      <x:c r="E5" s="20" t="str">
        <x:v>P1</x:v>
      </x:c>
      <x:c r="F5" s="20" t="n">
        <x:v>152</x:v>
      </x:c>
      <x:c r="G5" s="20" t="str">
        <x:v>Feature Areas</x:v>
      </x:c>
      <x:c r="H5" s="20" t="n">
        <x:v>27</x:v>
      </x:c>
      <x:c r="I5" s="20" t="str">
        <x:v>E2E Journeys</x:v>
      </x:c>
      <x:c r="J5" s="21" t="n">
        <x:v>12</x:v>
      </x:c>
    </x:row>
    <x:row r="7" ht="36" customHeight="1">
      <x:c r="A7" s="25" t="str">
        <x:v>Module / Feature</x:v>
      </x:c>
      <x:c r="B7" s="25" t="str">
        <x:v>Number of Test Cases</x:v>
      </x:c>
      <x:c r="C7" s="25" t="str">
        <x:v>Positive Cases</x:v>
      </x:c>
      <x:c r="D7" s="25" t="str">
        <x:v>Negative Cases</x:v>
      </x:c>
      <x:c r="E7" s="25" t="str">
        <x:v>Edge Cases</x:v>
      </x:c>
      <x:c r="F7" s="25" t="str">
        <x:v>Security Cases</x:v>
      </x:c>
      <x:c r="G7" s="25" t="str">
        <x:v>Integration Cases</x:v>
      </x:c>
      <x:c r="H7" s="25" t="str">
        <x:v>Priority</x:v>
      </x:c>
      <x:c r="I7" s="25" t="str">
        <x:v>Testing Status</x:v>
      </x:c>
      <x:c r="J7" s="25" t="str">
        <x:v>Notes</x:v>
      </x:c>
    </x:row>
    <x:row r="8" ht="38" customHeight="1">
      <x:c r="A8" s="46" t="str">
        <x:v>Authentication and Access</x:v>
      </x:c>
      <x:c r="B8" s="52" t="n">
        <x:f>COUNTA('01_Auth_Access'!$A$5:$A$1000)</x:f>
        <x:v>12</x:v>
      </x:c>
      <x:c r="C8" s="52" t="n">
        <x:f>COUNTIF('01_Auth_Access'!$G$5:$G$1000,"Functional / Positive")+COUNTIF('01_Auth_Access'!$G$5:$G$1000,"Functional")</x:f>
        <x:v>1</x:v>
      </x:c>
      <x:c r="D8" s="52" t="n">
        <x:f>COUNTIF('01_Auth_Access'!$G$5:$G$1000,"Negative / Validation")+COUNTIF('01_Auth_Access'!$G$5:$G$1000,"Validation")</x:f>
        <x:v>1</x:v>
      </x:c>
      <x:c r="E8" s="52" t="n">
        <x:f>COUNTIF('01_Auth_Access'!$G$5:$G$1000,"Edge Case")+COUNTIF('01_Auth_Access'!$G$5:$G$1000,"Boundary")+COUNTIF('01_Auth_Access'!$G$5:$G$1000,"Concurrency")+COUNTIF('01_Auth_Access'!$G$5:$G$1000,"Idempotency / Concurrency")</x:f>
        <x:v>2</x:v>
      </x:c>
      <x:c r="F8" s="52" t="n">
        <x:f>COUNTIF('01_Auth_Access'!$G$5:$G$1000,"Security")+COUNTIF('01_Auth_Access'!$G$5:$G$1000,"Permission / Security")+COUNTIF('01_Auth_Access'!$G$5:$G$1000,"Security / IDOR")+COUNTIF('01_Auth_Access'!$G$5:$G$1000,"Permission")</x:f>
        <x:v>4</x:v>
      </x:c>
      <x:c r="G8" s="52" t="n">
        <x:f>COUNTIF('01_Auth_Access'!$G$5:$G$1000,"Integration")+COUNTIF('01_Auth_Access'!$G$5:$G$1000,"End-to-End")+COUNTIF('01_Auth_Access'!$G$5:$G$1000,"External Integration")</x:f>
        <x:v>0</x:v>
      </x:c>
      <x:c r="H8" s="52" t="str">
        <x:f>IF(COUNTIF('01_Auth_Access'!$H$5:$H$1000,"P0")&gt;0,"P0",IF(COUNTIF('01_Auth_Access'!$H$5:$H$1000,"P1")&gt;0,"P1","P2"))</x:f>
        <x:v>P0</x:v>
      </x:c>
      <x:c r="I8" s="52" t="str">
        <x:f>IF(COUNTIF('01_Auth_Access'!$W$5:$W$1000,"Failed")&gt;0,"Failed",IF(COUNTIF('01_Auth_Access'!$W$5:$W$1000,"Blocked")&gt;0,"Blocked",IF(COUNTIF('01_Auth_Access'!$W$5:$W$1000,"Passed")=B8,"Passed","Not Run")))</x:f>
        <x:v>Not Run</x:v>
      </x:c>
      <x:c r="J8" s="46" t="str">
        <x:v>Register an agency owner, authenticate through password and optional login OTP, refresh JWTs, reset passwords, and reject access when a user or agency is no longer entitled.</x:v>
      </x:c>
    </x:row>
    <x:row r="9" ht="38" customHeight="1">
      <x:c r="A9" s="47" t="str">
        <x:v>Agency Profile, Website and Settings</x:v>
      </x:c>
      <x:c r="B9" s="53" t="n">
        <x:f>COUNTA('02_Agency_Settings'!$A$5:$A$1000)</x:f>
        <x:v>11</x:v>
      </x:c>
      <x:c r="C9" s="53" t="n">
        <x:f>COUNTIF('02_Agency_Settings'!$G$5:$G$1000,"Functional / Positive")+COUNTIF('02_Agency_Settings'!$G$5:$G$1000,"Functional")</x:f>
        <x:v>1</x:v>
      </x:c>
      <x:c r="D9" s="53" t="n">
        <x:f>COUNTIF('02_Agency_Settings'!$G$5:$G$1000,"Negative / Validation")+COUNTIF('02_Agency_Settings'!$G$5:$G$1000,"Validation")</x:f>
        <x:v>1</x:v>
      </x:c>
      <x:c r="E9" s="53" t="n">
        <x:f>COUNTIF('02_Agency_Settings'!$G$5:$G$1000,"Edge Case")+COUNTIF('02_Agency_Settings'!$G$5:$G$1000,"Boundary")+COUNTIF('02_Agency_Settings'!$G$5:$G$1000,"Concurrency")+COUNTIF('02_Agency_Settings'!$G$5:$G$1000,"Idempotency / Concurrency")</x:f>
        <x:v>1</x:v>
      </x:c>
      <x:c r="F9" s="53" t="n">
        <x:f>COUNTIF('02_Agency_Settings'!$G$5:$G$1000,"Security")+COUNTIF('02_Agency_Settings'!$G$5:$G$1000,"Permission / Security")+COUNTIF('02_Agency_Settings'!$G$5:$G$1000,"Security / IDOR")+COUNTIF('02_Agency_Settings'!$G$5:$G$1000,"Permission")</x:f>
        <x:v>4</x:v>
      </x:c>
      <x:c r="G9" s="53" t="n">
        <x:f>COUNTIF('02_Agency_Settings'!$G$5:$G$1000,"Integration")+COUNTIF('02_Agency_Settings'!$G$5:$G$1000,"End-to-End")+COUNTIF('02_Agency_Settings'!$G$5:$G$1000,"External Integration")</x:f>
        <x:v>1</x:v>
      </x:c>
      <x:c r="H9" s="53" t="str">
        <x:f>IF(COUNTIF('02_Agency_Settings'!$H$5:$H$1000,"P0")&gt;0,"P0",IF(COUNTIF('02_Agency_Settings'!$H$5:$H$1000,"P1")&gt;0,"P1","P2"))</x:f>
        <x:v>P0</x:v>
      </x:c>
      <x:c r="I9" s="53" t="str">
        <x:f>IF(COUNTIF('02_Agency_Settings'!$W$5:$W$1000,"Failed")&gt;0,"Failed",IF(COUNTIF('02_Agency_Settings'!$W$5:$W$1000,"Blocked")&gt;0,"Blocked",IF(COUNTIF('02_Agency_Settings'!$W$5:$W$1000,"Passed")=B9,"Passed","Not Run")))</x:f>
        <x:v>Not Run</x:v>
      </x:c>
      <x:c r="J9" s="47" t="str">
        <x:v>Maintain the tenant profile, public website identity, custom domain, contact channels, publishing state, and agency-level configuration.</x:v>
      </x:c>
    </x:row>
    <x:row r="10" ht="38" customHeight="1">
      <x:c r="A10" s="47" t="str">
        <x:v>Team, Invitations and Agent Profiles</x:v>
      </x:c>
      <x:c r="B10" s="53" t="n">
        <x:f>COUNTA('03_Team_Agents'!$A$5:$A$1000)</x:f>
        <x:v>11</x:v>
      </x:c>
      <x:c r="C10" s="53" t="n">
        <x:f>COUNTIF('03_Team_Agents'!$G$5:$G$1000,"Functional / Positive")+COUNTIF('03_Team_Agents'!$G$5:$G$1000,"Functional")</x:f>
        <x:v>1</x:v>
      </x:c>
      <x:c r="D10" s="53" t="n">
        <x:f>COUNTIF('03_Team_Agents'!$G$5:$G$1000,"Negative / Validation")+COUNTIF('03_Team_Agents'!$G$5:$G$1000,"Validation")</x:f>
        <x:v>2</x:v>
      </x:c>
      <x:c r="E10" s="53" t="n">
        <x:f>COUNTIF('03_Team_Agents'!$G$5:$G$1000,"Edge Case")+COUNTIF('03_Team_Agents'!$G$5:$G$1000,"Boundary")+COUNTIF('03_Team_Agents'!$G$5:$G$1000,"Concurrency")+COUNTIF('03_Team_Agents'!$G$5:$G$1000,"Idempotency / Concurrency")</x:f>
        <x:v>1</x:v>
      </x:c>
      <x:c r="F10" s="53" t="n">
        <x:f>COUNTIF('03_Team_Agents'!$G$5:$G$1000,"Security")+COUNTIF('03_Team_Agents'!$G$5:$G$1000,"Permission / Security")+COUNTIF('03_Team_Agents'!$G$5:$G$1000,"Security / IDOR")+COUNTIF('03_Team_Agents'!$G$5:$G$1000,"Permission")</x:f>
        <x:v>3</x:v>
      </x:c>
      <x:c r="G10" s="53" t="n">
        <x:f>COUNTIF('03_Team_Agents'!$G$5:$G$1000,"Integration")+COUNTIF('03_Team_Agents'!$G$5:$G$1000,"End-to-End")+COUNTIF('03_Team_Agents'!$G$5:$G$1000,"External Integration")</x:f>
        <x:v>1</x:v>
      </x:c>
      <x:c r="H10" s="53" t="str">
        <x:f>IF(COUNTIF('03_Team_Agents'!$H$5:$H$1000,"P0")&gt;0,"P0",IF(COUNTIF('03_Team_Agents'!$H$5:$H$1000,"P1")&gt;0,"P1","P2"))</x:f>
        <x:v>P0</x:v>
      </x:c>
      <x:c r="I10" s="53" t="str">
        <x:f>IF(COUNTIF('03_Team_Agents'!$W$5:$W$1000,"Failed")&gt;0,"Failed",IF(COUNTIF('03_Team_Agents'!$W$5:$W$1000,"Blocked")&gt;0,"Blocked",IF(COUNTIF('03_Team_Agents'!$W$5:$W$1000,"Passed")=B10,"Passed","Not Run")))</x:f>
        <x:v>Not Run</x:v>
      </x:c>
      <x:c r="J10" s="47" t="str">
        <x:v>Invite managers/agents, accept invitations, manage team access, and maintain public agent profiles without losing tenant or role controls.</x:v>
      </x:c>
    </x:row>
    <x:row r="11" ht="38" customHeight="1">
      <x:c r="A11" s="47" t="str">
        <x:v>Property Inventory and Lifecycle</x:v>
      </x:c>
      <x:c r="B11" s="53" t="n">
        <x:f>COUNTA('04_Property_Core'!$A$5:$A$1000)</x:f>
        <x:v>12</x:v>
      </x:c>
      <x:c r="C11" s="53" t="n">
        <x:f>COUNTIF('04_Property_Core'!$G$5:$G$1000,"Functional / Positive")+COUNTIF('04_Property_Core'!$G$5:$G$1000,"Functional")</x:f>
        <x:v>1</x:v>
      </x:c>
      <x:c r="D11" s="53" t="n">
        <x:f>COUNTIF('04_Property_Core'!$G$5:$G$1000,"Negative / Validation")+COUNTIF('04_Property_Core'!$G$5:$G$1000,"Validation")</x:f>
        <x:v>1</x:v>
      </x:c>
      <x:c r="E11" s="53" t="n">
        <x:f>COUNTIF('04_Property_Core'!$G$5:$G$1000,"Edge Case")+COUNTIF('04_Property_Core'!$G$5:$G$1000,"Boundary")+COUNTIF('04_Property_Core'!$G$5:$G$1000,"Concurrency")+COUNTIF('04_Property_Core'!$G$5:$G$1000,"Idempotency / Concurrency")</x:f>
        <x:v>1</x:v>
      </x:c>
      <x:c r="F11" s="53" t="n">
        <x:f>COUNTIF('04_Property_Core'!$G$5:$G$1000,"Security")+COUNTIF('04_Property_Core'!$G$5:$G$1000,"Permission / Security")+COUNTIF('04_Property_Core'!$G$5:$G$1000,"Security / IDOR")+COUNTIF('04_Property_Core'!$G$5:$G$1000,"Permission")</x:f>
        <x:v>4</x:v>
      </x:c>
      <x:c r="G11" s="53" t="n">
        <x:f>COUNTIF('04_Property_Core'!$G$5:$G$1000,"Integration")+COUNTIF('04_Property_Core'!$G$5:$G$1000,"End-to-End")+COUNTIF('04_Property_Core'!$G$5:$G$1000,"External Integration")</x:f>
        <x:v>0</x:v>
      </x:c>
      <x:c r="H11" s="53" t="str">
        <x:f>IF(COUNTIF('04_Property_Core'!$H$5:$H$1000,"P0")&gt;0,"P0",IF(COUNTIF('04_Property_Core'!$H$5:$H$1000,"P1")&gt;0,"P1","P2"))</x:f>
        <x:v>P0</x:v>
      </x:c>
      <x:c r="I11" s="53" t="str">
        <x:f>IF(COUNTIF('04_Property_Core'!$W$5:$W$1000,"Failed")&gt;0,"Failed",IF(COUNTIF('04_Property_Core'!$W$5:$W$1000,"Blocked")&gt;0,"Blocked",IF(COUNTIF('04_Property_Core'!$W$5:$W$1000,"Passed")=B11,"Passed","Not Run")))</x:f>
        <x:v>Not Run</x:v>
      </x:c>
      <x:c r="J11" s="47" t="str">
        <x:v>Create agency-owned property inventory, assign listing agents, filter/search it, control publication, and preserve lifecycle/history rules.</x:v>
      </x:c>
    </x:row>
    <x:row r="12" ht="38" customHeight="1">
      <x:c r="A12" s="47" t="str">
        <x:v>Nepal Property Data and Area Conversion</x:v>
      </x:c>
      <x:c r="B12" s="53" t="n">
        <x:f>COUNTA('05_Nepal_Property'!$A$5:$A$1000)</x:f>
        <x:v>12</x:v>
      </x:c>
      <x:c r="C12" s="53" t="n">
        <x:f>COUNTIF('05_Nepal_Property'!$G$5:$G$1000,"Functional / Positive")+COUNTIF('05_Nepal_Property'!$G$5:$G$1000,"Functional")</x:f>
        <x:v>1</x:v>
      </x:c>
      <x:c r="D12" s="53" t="n">
        <x:f>COUNTIF('05_Nepal_Property'!$G$5:$G$1000,"Negative / Validation")+COUNTIF('05_Nepal_Property'!$G$5:$G$1000,"Validation")</x:f>
        <x:v>2</x:v>
      </x:c>
      <x:c r="E12" s="53" t="n">
        <x:f>COUNTIF('05_Nepal_Property'!$G$5:$G$1000,"Edge Case")+COUNTIF('05_Nepal_Property'!$G$5:$G$1000,"Boundary")+COUNTIF('05_Nepal_Property'!$G$5:$G$1000,"Concurrency")+COUNTIF('05_Nepal_Property'!$G$5:$G$1000,"Idempotency / Concurrency")</x:f>
        <x:v>3</x:v>
      </x:c>
      <x:c r="F12" s="53" t="n">
        <x:f>COUNTIF('05_Nepal_Property'!$G$5:$G$1000,"Security")+COUNTIF('05_Nepal_Property'!$G$5:$G$1000,"Permission / Security")+COUNTIF('05_Nepal_Property'!$G$5:$G$1000,"Security / IDOR")+COUNTIF('05_Nepal_Property'!$G$5:$G$1000,"Permission")</x:f>
        <x:v>2</x:v>
      </x:c>
      <x:c r="G12" s="53" t="n">
        <x:f>COUNTIF('05_Nepal_Property'!$G$5:$G$1000,"Integration")+COUNTIF('05_Nepal_Property'!$G$5:$G$1000,"End-to-End")+COUNTIF('05_Nepal_Property'!$G$5:$G$1000,"External Integration")</x:f>
        <x:v>1</x:v>
      </x:c>
      <x:c r="H12" s="53" t="str">
        <x:f>IF(COUNTIF('05_Nepal_Property'!$H$5:$H$1000,"P0")&gt;0,"P0",IF(COUNTIF('05_Nepal_Property'!$H$5:$H$1000,"P1")&gt;0,"P1","P2"))</x:f>
        <x:v>P0</x:v>
      </x:c>
      <x:c r="I12" s="53" t="str">
        <x:f>IF(COUNTIF('05_Nepal_Property'!$W$5:$W$1000,"Failed")&gt;0,"Failed",IF(COUNTIF('05_Nepal_Property'!$W$5:$W$1000,"Blocked")&gt;0,"Blocked",IF(COUNTIF('05_Nepal_Property'!$W$5:$W$1000,"Passed")=B12,"Passed","Not Run")))</x:f>
        <x:v>Not Run</x:v>
      </x:c>
      <x:c r="J12" s="47" t="str">
        <x:v>Represent Nepali land units, local addresses, road/access details, plot dimensions, utilities, classifications, price rates, and automatic unit conversion.</x:v>
      </x:c>
    </x:row>
    <x:row r="13" ht="38" customHeight="1">
      <x:c r="A13" s="47" t="str">
        <x:v>Property Media</x:v>
      </x:c>
      <x:c r="B13" s="53" t="n">
        <x:f>COUNTA('06_Property_Media'!$A$5:$A$1000)</x:f>
        <x:v>11</x:v>
      </x:c>
      <x:c r="C13" s="53" t="n">
        <x:f>COUNTIF('06_Property_Media'!$G$5:$G$1000,"Functional / Positive")+COUNTIF('06_Property_Media'!$G$5:$G$1000,"Functional")</x:f>
        <x:v>1</x:v>
      </x:c>
      <x:c r="D13" s="53" t="n">
        <x:f>COUNTIF('06_Property_Media'!$G$5:$G$1000,"Negative / Validation")+COUNTIF('06_Property_Media'!$G$5:$G$1000,"Validation")</x:f>
        <x:v>1</x:v>
      </x:c>
      <x:c r="E13" s="53" t="n">
        <x:f>COUNTIF('06_Property_Media'!$G$5:$G$1000,"Edge Case")+COUNTIF('06_Property_Media'!$G$5:$G$1000,"Boundary")+COUNTIF('06_Property_Media'!$G$5:$G$1000,"Concurrency")+COUNTIF('06_Property_Media'!$G$5:$G$1000,"Idempotency / Concurrency")</x:f>
        <x:v>1</x:v>
      </x:c>
      <x:c r="F13" s="53" t="n">
        <x:f>COUNTIF('06_Property_Media'!$G$5:$G$1000,"Security")+COUNTIF('06_Property_Media'!$G$5:$G$1000,"Permission / Security")+COUNTIF('06_Property_Media'!$G$5:$G$1000,"Security / IDOR")+COUNTIF('06_Property_Media'!$G$5:$G$1000,"Permission")</x:f>
        <x:v>4</x:v>
      </x:c>
      <x:c r="G13" s="53" t="n">
        <x:f>COUNTIF('06_Property_Media'!$G$5:$G$1000,"Integration")+COUNTIF('06_Property_Media'!$G$5:$G$1000,"End-to-End")+COUNTIF('06_Property_Media'!$G$5:$G$1000,"External Integration")</x:f>
        <x:v>0</x:v>
      </x:c>
      <x:c r="H13" s="53" t="str">
        <x:f>IF(COUNTIF('06_Property_Media'!$H$5:$H$1000,"P0")&gt;0,"P0",IF(COUNTIF('06_Property_Media'!$H$5:$H$1000,"P1")&gt;0,"P1","P2"))</x:f>
        <x:v>P0</x:v>
      </x:c>
      <x:c r="I13" s="53" t="str">
        <x:f>IF(COUNTIF('06_Property_Media'!$W$5:$W$1000,"Failed")&gt;0,"Failed",IF(COUNTIF('06_Property_Media'!$W$5:$W$1000,"Blocked")&gt;0,"Blocked",IF(COUNTIF('06_Property_Media'!$W$5:$W$1000,"Passed")=B13,"Passed","Not Run")))</x:f>
        <x:v>Not Run</x:v>
      </x:c>
      <x:c r="J13" s="47" t="str">
        <x:v>Upload, list, order, mark primary, and delete tenant-scoped property images/media used by internal views, public listings, social publishing, and distribution assets.</x:v>
      </x:c>
    </x:row>
    <x:row r="14" ht="38" customHeight="1">
      <x:c r="A14" s="47" t="str">
        <x:v>Property Verification and Due Diligence</x:v>
      </x:c>
      <x:c r="B14" s="53" t="n">
        <x:f>COUNTA('07_Verification'!$A$5:$A$1000)</x:f>
        <x:v>12</x:v>
      </x:c>
      <x:c r="C14" s="53" t="n">
        <x:f>COUNTIF('07_Verification'!$G$5:$G$1000,"Functional / Positive")+COUNTIF('07_Verification'!$G$5:$G$1000,"Functional")</x:f>
        <x:v>1</x:v>
      </x:c>
      <x:c r="D14" s="53" t="n">
        <x:f>COUNTIF('07_Verification'!$G$5:$G$1000,"Negative / Validation")+COUNTIF('07_Verification'!$G$5:$G$1000,"Validation")</x:f>
        <x:v>1</x:v>
      </x:c>
      <x:c r="E14" s="53" t="n">
        <x:f>COUNTIF('07_Verification'!$G$5:$G$1000,"Edge Case")+COUNTIF('07_Verification'!$G$5:$G$1000,"Boundary")+COUNTIF('07_Verification'!$G$5:$G$1000,"Concurrency")+COUNTIF('07_Verification'!$G$5:$G$1000,"Idempotency / Concurrency")</x:f>
        <x:v>1</x:v>
      </x:c>
      <x:c r="F14" s="53" t="n">
        <x:f>COUNTIF('07_Verification'!$G$5:$G$1000,"Security")+COUNTIF('07_Verification'!$G$5:$G$1000,"Permission / Security")+COUNTIF('07_Verification'!$G$5:$G$1000,"Security / IDOR")+COUNTIF('07_Verification'!$G$5:$G$1000,"Permission")</x:f>
        <x:v>3</x:v>
      </x:c>
      <x:c r="G14" s="53" t="n">
        <x:f>COUNTIF('07_Verification'!$G$5:$G$1000,"Integration")+COUNTIF('07_Verification'!$G$5:$G$1000,"End-to-End")+COUNTIF('07_Verification'!$G$5:$G$1000,"External Integration")</x:f>
        <x:v>0</x:v>
      </x:c>
      <x:c r="H14" s="53" t="str">
        <x:f>IF(COUNTIF('07_Verification'!$H$5:$H$1000,"P0")&gt;0,"P0",IF(COUNTIF('07_Verification'!$H$5:$H$1000,"P1")&gt;0,"P1","P2"))</x:f>
        <x:v>P0</x:v>
      </x:c>
      <x:c r="I14" s="53" t="str">
        <x:f>IF(COUNTIF('07_Verification'!$W$5:$W$1000,"Failed")&gt;0,"Failed",IF(COUNTIF('07_Verification'!$W$5:$W$1000,"Blocked")&gt;0,"Blocked",IF(COUNTIF('07_Verification'!$W$5:$W$1000,"Passed")=B14,"Passed","Not Run")))</x:f>
        <x:v>Not Run</x:v>
      </x:c>
      <x:c r="J14" s="47" t="str">
        <x:v>Track a fixed Nepal document checklist and ordered verification milestones without exposing private documents publicly.</x:v>
      </x:c>
    </x:row>
    <x:row r="15" ht="38" customHeight="1">
      <x:c r="A15" s="47" t="str">
        <x:v>Listing Freshness, Availability and Trust</x:v>
      </x:c>
      <x:c r="B15" s="53" t="n">
        <x:f>COUNTA('08_Freshness_Trust'!$A$5:$A$1000)</x:f>
        <x:v>12</x:v>
      </x:c>
      <x:c r="C15" s="53" t="n">
        <x:f>COUNTIF('08_Freshness_Trust'!$G$5:$G$1000,"Functional / Positive")+COUNTIF('08_Freshness_Trust'!$G$5:$G$1000,"Functional")</x:f>
        <x:v>1</x:v>
      </x:c>
      <x:c r="D15" s="53" t="n">
        <x:f>COUNTIF('08_Freshness_Trust'!$G$5:$G$1000,"Negative / Validation")+COUNTIF('08_Freshness_Trust'!$G$5:$G$1000,"Validation")</x:f>
        <x:v>1</x:v>
      </x:c>
      <x:c r="E15" s="53" t="n">
        <x:f>COUNTIF('08_Freshness_Trust'!$G$5:$G$1000,"Edge Case")+COUNTIF('08_Freshness_Trust'!$G$5:$G$1000,"Boundary")+COUNTIF('08_Freshness_Trust'!$G$5:$G$1000,"Concurrency")+COUNTIF('08_Freshness_Trust'!$G$5:$G$1000,"Idempotency / Concurrency")</x:f>
        <x:v>2</x:v>
      </x:c>
      <x:c r="F15" s="53" t="n">
        <x:f>COUNTIF('08_Freshness_Trust'!$G$5:$G$1000,"Security")+COUNTIF('08_Freshness_Trust'!$G$5:$G$1000,"Permission / Security")+COUNTIF('08_Freshness_Trust'!$G$5:$G$1000,"Security / IDOR")+COUNTIF('08_Freshness_Trust'!$G$5:$G$1000,"Permission")</x:f>
        <x:v>3</x:v>
      </x:c>
      <x:c r="G15" s="53" t="n">
        <x:f>COUNTIF('08_Freshness_Trust'!$G$5:$G$1000,"Integration")+COUNTIF('08_Freshness_Trust'!$G$5:$G$1000,"End-to-End")+COUNTIF('08_Freshness_Trust'!$G$5:$G$1000,"External Integration")</x:f>
        <x:v>1</x:v>
      </x:c>
      <x:c r="H15" s="53" t="str">
        <x:f>IF(COUNTIF('08_Freshness_Trust'!$H$5:$H$1000,"P0")&gt;0,"P0",IF(COUNTIF('08_Freshness_Trust'!$H$5:$H$1000,"P1")&gt;0,"P1","P2"))</x:f>
        <x:v>P0</x:v>
      </x:c>
      <x:c r="I15" s="53" t="str">
        <x:f>IF(COUNTIF('08_Freshness_Trust'!$W$5:$W$1000,"Failed")&gt;0,"Failed",IF(COUNTIF('08_Freshness_Trust'!$W$5:$W$1000,"Blocked")&gt;0,"Blocked",IF(COUNTIF('08_Freshness_Trust'!$W$5:$W$1000,"Passed")=B15,"Passed","Not Run")))</x:f>
        <x:v>Not Run</x:v>
      </x:c>
      <x:c r="J15" s="47" t="str">
        <x:v>Keep listings recently confirmed, expire/hide stale stock, collect public reports, detect duplicates, record withdrawals/history, and require manager approval to republish.</x:v>
      </x:c>
    </x:row>
    <x:row r="16" ht="38" customHeight="1">
      <x:c r="A16" s="47" t="str">
        <x:v>Listing Distribution Toolkit</x:v>
      </x:c>
      <x:c r="B16" s="53" t="n">
        <x:f>COUNTA('09_Distribution'!$A$5:$A$1000)</x:f>
        <x:v>12</x:v>
      </x:c>
      <x:c r="C16" s="53" t="n">
        <x:f>COUNTIF('09_Distribution'!$G$5:$G$1000,"Functional / Positive")+COUNTIF('09_Distribution'!$G$5:$G$1000,"Functional")</x:f>
        <x:v>1</x:v>
      </x:c>
      <x:c r="D16" s="53" t="n">
        <x:f>COUNTIF('09_Distribution'!$G$5:$G$1000,"Negative / Validation")+COUNTIF('09_Distribution'!$G$5:$G$1000,"Validation")</x:f>
        <x:v>1</x:v>
      </x:c>
      <x:c r="E16" s="53" t="n">
        <x:f>COUNTIF('09_Distribution'!$G$5:$G$1000,"Edge Case")+COUNTIF('09_Distribution'!$G$5:$G$1000,"Boundary")+COUNTIF('09_Distribution'!$G$5:$G$1000,"Concurrency")+COUNTIF('09_Distribution'!$G$5:$G$1000,"Idempotency / Concurrency")</x:f>
        <x:v>1</x:v>
      </x:c>
      <x:c r="F16" s="53" t="n">
        <x:f>COUNTIF('09_Distribution'!$G$5:$G$1000,"Security")+COUNTIF('09_Distribution'!$G$5:$G$1000,"Permission / Security")+COUNTIF('09_Distribution'!$G$5:$G$1000,"Security / IDOR")+COUNTIF('09_Distribution'!$G$5:$G$1000,"Permission")</x:f>
        <x:v>3</x:v>
      </x:c>
      <x:c r="G16" s="53" t="n">
        <x:f>COUNTIF('09_Distribution'!$G$5:$G$1000,"Integration")+COUNTIF('09_Distribution'!$G$5:$G$1000,"End-to-End")+COUNTIF('09_Distribution'!$G$5:$G$1000,"External Integration")</x:f>
        <x:v>2</x:v>
      </x:c>
      <x:c r="H16" s="53" t="str">
        <x:f>IF(COUNTIF('09_Distribution'!$H$5:$H$1000,"P0")&gt;0,"P0",IF(COUNTIF('09_Distribution'!$H$5:$H$1000,"P1")&gt;0,"P1","P2"))</x:f>
        <x:v>P0</x:v>
      </x:c>
      <x:c r="I16" s="53" t="str">
        <x:f>IF(COUNTIF('09_Distribution'!$W$5:$W$1000,"Failed")&gt;0,"Failed",IF(COUNTIF('09_Distribution'!$W$5:$W$1000,"Blocked")&gt;0,"Blocked",IF(COUNTIF('09_Distribution'!$W$5:$W$1000,"Passed")=B16,"Passed","Not Run")))</x:f>
        <x:v>Not Run</x:v>
      </x:c>
      <x:c r="J16" s="47" t="str">
        <x:v>Generate bilingual copy, watermarked images, brochures, window cards, QR codes, short tracked links, portal CSV, social drafts, and downloadable media packages.</x:v>
      </x:c>
    </x:row>
    <x:row r="17" ht="38" customHeight="1">
      <x:c r="A17" s="47" t="str">
        <x:v>Public Storefront and Discovery</x:v>
      </x:c>
      <x:c r="B17" s="53" t="n">
        <x:f>COUNTA('10_Public_Storefront'!$A$5:$A$1000)</x:f>
        <x:v>12</x:v>
      </x:c>
      <x:c r="C17" s="53" t="n">
        <x:f>COUNTIF('10_Public_Storefront'!$G$5:$G$1000,"Functional / Positive")+COUNTIF('10_Public_Storefront'!$G$5:$G$1000,"Functional")</x:f>
        <x:v>1</x:v>
      </x:c>
      <x:c r="D17" s="53" t="n">
        <x:f>COUNTIF('10_Public_Storefront'!$G$5:$G$1000,"Negative / Validation")+COUNTIF('10_Public_Storefront'!$G$5:$G$1000,"Validation")</x:f>
        <x:v>1</x:v>
      </x:c>
      <x:c r="E17" s="53" t="n">
        <x:f>COUNTIF('10_Public_Storefront'!$G$5:$G$1000,"Edge Case")+COUNTIF('10_Public_Storefront'!$G$5:$G$1000,"Boundary")+COUNTIF('10_Public_Storefront'!$G$5:$G$1000,"Concurrency")+COUNTIF('10_Public_Storefront'!$G$5:$G$1000,"Idempotency / Concurrency")</x:f>
        <x:v>1</x:v>
      </x:c>
      <x:c r="F17" s="53" t="n">
        <x:f>COUNTIF('10_Public_Storefront'!$G$5:$G$1000,"Security")+COUNTIF('10_Public_Storefront'!$G$5:$G$1000,"Permission / Security")+COUNTIF('10_Public_Storefront'!$G$5:$G$1000,"Security / IDOR")+COUNTIF('10_Public_Storefront'!$G$5:$G$1000,"Permission")</x:f>
        <x:v>4</x:v>
      </x:c>
      <x:c r="G17" s="53" t="n">
        <x:f>COUNTIF('10_Public_Storefront'!$G$5:$G$1000,"Integration")+COUNTIF('10_Public_Storefront'!$G$5:$G$1000,"End-to-End")+COUNTIF('10_Public_Storefront'!$G$5:$G$1000,"External Integration")</x:f>
        <x:v>0</x:v>
      </x:c>
      <x:c r="H17" s="53" t="str">
        <x:f>IF(COUNTIF('10_Public_Storefront'!$H$5:$H$1000,"P0")&gt;0,"P0",IF(COUNTIF('10_Public_Storefront'!$H$5:$H$1000,"P1")&gt;0,"P1","P2"))</x:f>
        <x:v>P0</x:v>
      </x:c>
      <x:c r="I17" s="53" t="str">
        <x:f>IF(COUNTIF('10_Public_Storefront'!$W$5:$W$1000,"Failed")&gt;0,"Failed",IF(COUNTIF('10_Public_Storefront'!$W$5:$W$1000,"Blocked")&gt;0,"Blocked",IF(COUNTIF('10_Public_Storefront'!$W$5:$W$1000,"Passed")=B17,"Passed","Not Run")))</x:f>
        <x:v>Not Run</x:v>
      </x:c>
      <x:c r="J17" s="47" t="str">
        <x:v>Resolve an agency storefront, browse/filter/map public listings, view safe property/agent details, similar properties, track events, contact the agency, and submit inquiries.</x:v>
      </x:c>
    </x:row>
    <x:row r="18" ht="38" customHeight="1">
      <x:c r="A18" s="47" t="str">
        <x:v>Lead CRM and Unified Lead Workspace</x:v>
      </x:c>
      <x:c r="B18" s="53" t="n">
        <x:f>COUNTA('11_Leads'!$A$5:$A$1000)</x:f>
        <x:v>12</x:v>
      </x:c>
      <x:c r="C18" s="53" t="n">
        <x:f>COUNTIF('11_Leads'!$G$5:$G$1000,"Functional / Positive")+COUNTIF('11_Leads'!$G$5:$G$1000,"Functional")</x:f>
        <x:v>1</x:v>
      </x:c>
      <x:c r="D18" s="53" t="n">
        <x:f>COUNTIF('11_Leads'!$G$5:$G$1000,"Negative / Validation")+COUNTIF('11_Leads'!$G$5:$G$1000,"Validation")</x:f>
        <x:v>1</x:v>
      </x:c>
      <x:c r="E18" s="53" t="n">
        <x:f>COUNTIF('11_Leads'!$G$5:$G$1000,"Edge Case")+COUNTIF('11_Leads'!$G$5:$G$1000,"Boundary")+COUNTIF('11_Leads'!$G$5:$G$1000,"Concurrency")+COUNTIF('11_Leads'!$G$5:$G$1000,"Idempotency / Concurrency")</x:f>
        <x:v>1</x:v>
      </x:c>
      <x:c r="F18" s="53" t="n">
        <x:f>COUNTIF('11_Leads'!$G$5:$G$1000,"Security")+COUNTIF('11_Leads'!$G$5:$G$1000,"Permission / Security")+COUNTIF('11_Leads'!$G$5:$G$1000,"Security / IDOR")+COUNTIF('11_Leads'!$G$5:$G$1000,"Permission")</x:f>
        <x:v>3</x:v>
      </x:c>
      <x:c r="G18" s="53" t="n">
        <x:f>COUNTIF('11_Leads'!$G$5:$G$1000,"Integration")+COUNTIF('11_Leads'!$G$5:$G$1000,"End-to-End")+COUNTIF('11_Leads'!$G$5:$G$1000,"External Integration")</x:f>
        <x:v>1</x:v>
      </x:c>
      <x:c r="H18" s="53" t="str">
        <x:f>IF(COUNTIF('11_Leads'!$H$5:$H$1000,"P0")&gt;0,"P0",IF(COUNTIF('11_Leads'!$H$5:$H$1000,"P1")&gt;0,"P1","P2"))</x:f>
        <x:v>P0</x:v>
      </x:c>
      <x:c r="I18" s="53" t="str">
        <x:f>IF(COUNTIF('11_Leads'!$W$5:$W$1000,"Failed")&gt;0,"Failed",IF(COUNTIF('11_Leads'!$W$5:$W$1000,"Blocked")&gt;0,"Blocked",IF(COUNTIF('11_Leads'!$W$5:$W$1000,"Passed")=B18,"Passed","Not Run")))</x:f>
        <x:v>Not Run</x:v>
      </x:c>
      <x:c r="J18" s="47" t="str">
        <x:v>Capture and manage demand from website, Meta, phone, walk-in, WhatsApp, Viber, referrals and portals with interests, interactions, documents, status history, follow-ups and a unified workspace.</x:v>
      </x:c>
    </x:row>
    <x:row r="19" ht="38" customHeight="1">
      <x:c r="A19" s="47" t="str">
        <x:v>Rule-Based Lead Automation</x:v>
      </x:c>
      <x:c r="B19" s="53" t="n">
        <x:f>COUNTA('12_Lead_Automation'!$A$5:$A$1000)</x:f>
        <x:v>12</x:v>
      </x:c>
      <x:c r="C19" s="53" t="n">
        <x:f>COUNTIF('12_Lead_Automation'!$G$5:$G$1000,"Functional / Positive")+COUNTIF('12_Lead_Automation'!$G$5:$G$1000,"Functional")</x:f>
        <x:v>1</x:v>
      </x:c>
      <x:c r="D19" s="53" t="n">
        <x:f>COUNTIF('12_Lead_Automation'!$G$5:$G$1000,"Negative / Validation")+COUNTIF('12_Lead_Automation'!$G$5:$G$1000,"Validation")</x:f>
        <x:v>1</x:v>
      </x:c>
      <x:c r="E19" s="53" t="n">
        <x:f>COUNTIF('12_Lead_Automation'!$G$5:$G$1000,"Edge Case")+COUNTIF('12_Lead_Automation'!$G$5:$G$1000,"Boundary")+COUNTIF('12_Lead_Automation'!$G$5:$G$1000,"Concurrency")+COUNTIF('12_Lead_Automation'!$G$5:$G$1000,"Idempotency / Concurrency")</x:f>
        <x:v>2</x:v>
      </x:c>
      <x:c r="F19" s="53" t="n">
        <x:f>COUNTIF('12_Lead_Automation'!$G$5:$G$1000,"Security")+COUNTIF('12_Lead_Automation'!$G$5:$G$1000,"Permission / Security")+COUNTIF('12_Lead_Automation'!$G$5:$G$1000,"Security / IDOR")+COUNTIF('12_Lead_Automation'!$G$5:$G$1000,"Permission")</x:f>
        <x:v>2</x:v>
      </x:c>
      <x:c r="G19" s="53" t="n">
        <x:f>COUNTIF('12_Lead_Automation'!$G$5:$G$1000,"Integration")+COUNTIF('12_Lead_Automation'!$G$5:$G$1000,"End-to-End")+COUNTIF('12_Lead_Automation'!$G$5:$G$1000,"External Integration")</x:f>
        <x:v>1</x:v>
      </x:c>
      <x:c r="H19" s="53" t="str">
        <x:f>IF(COUNTIF('12_Lead_Automation'!$H$5:$H$1000,"P0")&gt;0,"P0",IF(COUNTIF('12_Lead_Automation'!$H$5:$H$1000,"P1")&gt;0,"P1","P2"))</x:f>
        <x:v>P0</x:v>
      </x:c>
      <x:c r="I19" s="53" t="str">
        <x:f>IF(COUNTIF('12_Lead_Automation'!$W$5:$W$1000,"Failed")&gt;0,"Failed",IF(COUNTIF('12_Lead_Automation'!$W$5:$W$1000,"Blocked")&gt;0,"Blocked",IF(COUNTIF('12_Lead_Automation'!$W$5:$W$1000,"Passed")=B19,"Passed","Not Run")))</x:f>
        <x:v>Not Run</x:v>
      </x:c>
      <x:c r="J19" s="47" t="str">
        <x:v>Assign leads using listing agent, property, location, property type and round-robin rules with capacity, duplicate detection, SLA tracking, reminders, escalation, neglected-lead alerts and reassignment.</x:v>
      </x:c>
    </x:row>
    <x:row r="20" ht="38" customHeight="1">
      <x:c r="A20" s="47" t="str">
        <x:v>Meta Unified Inbox</x:v>
      </x:c>
      <x:c r="B20" s="53" t="n">
        <x:f>COUNTA('13_Unified_Inbox'!$A$5:$A$1000)</x:f>
        <x:v>12</x:v>
      </x:c>
      <x:c r="C20" s="53" t="n">
        <x:f>COUNTIF('13_Unified_Inbox'!$G$5:$G$1000,"Functional / Positive")+COUNTIF('13_Unified_Inbox'!$G$5:$G$1000,"Functional")</x:f>
        <x:v>1</x:v>
      </x:c>
      <x:c r="D20" s="53" t="n">
        <x:f>COUNTIF('13_Unified_Inbox'!$G$5:$G$1000,"Negative / Validation")+COUNTIF('13_Unified_Inbox'!$G$5:$G$1000,"Validation")</x:f>
        <x:v>1</x:v>
      </x:c>
      <x:c r="E20" s="53" t="n">
        <x:f>COUNTIF('13_Unified_Inbox'!$G$5:$G$1000,"Edge Case")+COUNTIF('13_Unified_Inbox'!$G$5:$G$1000,"Boundary")+COUNTIF('13_Unified_Inbox'!$G$5:$G$1000,"Concurrency")+COUNTIF('13_Unified_Inbox'!$G$5:$G$1000,"Idempotency / Concurrency")</x:f>
        <x:v>1</x:v>
      </x:c>
      <x:c r="F20" s="53" t="n">
        <x:f>COUNTIF('13_Unified_Inbox'!$G$5:$G$1000,"Security")+COUNTIF('13_Unified_Inbox'!$G$5:$G$1000,"Permission / Security")+COUNTIF('13_Unified_Inbox'!$G$5:$G$1000,"Security / IDOR")+COUNTIF('13_Unified_Inbox'!$G$5:$G$1000,"Permission")</x:f>
        <x:v>3</x:v>
      </x:c>
      <x:c r="G20" s="53" t="n">
        <x:f>COUNTIF('13_Unified_Inbox'!$G$5:$G$1000,"Integration")+COUNTIF('13_Unified_Inbox'!$G$5:$G$1000,"End-to-End")+COUNTIF('13_Unified_Inbox'!$G$5:$G$1000,"External Integration")</x:f>
        <x:v>1</x:v>
      </x:c>
      <x:c r="H20" s="53" t="str">
        <x:f>IF(COUNTIF('13_Unified_Inbox'!$H$5:$H$1000,"P0")&gt;0,"P0",IF(COUNTIF('13_Unified_Inbox'!$H$5:$H$1000,"P1")&gt;0,"P1","P2"))</x:f>
        <x:v>P0</x:v>
      </x:c>
      <x:c r="I20" s="53" t="str">
        <x:f>IF(COUNTIF('13_Unified_Inbox'!$W$5:$W$1000,"Failed")&gt;0,"Failed",IF(COUNTIF('13_Unified_Inbox'!$W$5:$W$1000,"Blocked")&gt;0,"Blocked",IF(COUNTIF('13_Unified_Inbox'!$W$5:$W$1000,"Passed")=B20,"Passed","Not Run")))</x:f>
        <x:v>Not Run</x:v>
      </x:c>
      <x:c r="J20" s="47" t="str">
        <x:v>Normalize Facebook and Instagram messages into tenant conversations, assign/claim them, reply, mark read, change status, and link/create CRM leads.</x:v>
      </x:c>
    </x:row>
    <x:row r="21" ht="38" customHeight="1">
      <x:c r="A21" s="47" t="str">
        <x:v>Site Visits</x:v>
      </x:c>
      <x:c r="B21" s="53" t="n">
        <x:f>COUNTA('14_Site_Visits'!$A$5:$A$1000)</x:f>
        <x:v>12</x:v>
      </x:c>
      <x:c r="C21" s="53" t="n">
        <x:f>COUNTIF('14_Site_Visits'!$G$5:$G$1000,"Functional / Positive")+COUNTIF('14_Site_Visits'!$G$5:$G$1000,"Functional")</x:f>
        <x:v>1</x:v>
      </x:c>
      <x:c r="D21" s="53" t="n">
        <x:f>COUNTIF('14_Site_Visits'!$G$5:$G$1000,"Negative / Validation")+COUNTIF('14_Site_Visits'!$G$5:$G$1000,"Validation")</x:f>
        <x:v>2</x:v>
      </x:c>
      <x:c r="E21" s="53" t="n">
        <x:f>COUNTIF('14_Site_Visits'!$G$5:$G$1000,"Edge Case")+COUNTIF('14_Site_Visits'!$G$5:$G$1000,"Boundary")+COUNTIF('14_Site_Visits'!$G$5:$G$1000,"Concurrency")+COUNTIF('14_Site_Visits'!$G$5:$G$1000,"Idempotency / Concurrency")</x:f>
        <x:v>1</x:v>
      </x:c>
      <x:c r="F21" s="53" t="n">
        <x:f>COUNTIF('14_Site_Visits'!$G$5:$G$1000,"Security")+COUNTIF('14_Site_Visits'!$G$5:$G$1000,"Permission / Security")+COUNTIF('14_Site_Visits'!$G$5:$G$1000,"Security / IDOR")+COUNTIF('14_Site_Visits'!$G$5:$G$1000,"Permission")</x:f>
        <x:v>3</x:v>
      </x:c>
      <x:c r="G21" s="53" t="n">
        <x:f>COUNTIF('14_Site_Visits'!$G$5:$G$1000,"Integration")+COUNTIF('14_Site_Visits'!$G$5:$G$1000,"End-to-End")+COUNTIF('14_Site_Visits'!$G$5:$G$1000,"External Integration")</x:f>
        <x:v>1</x:v>
      </x:c>
      <x:c r="H21" s="53" t="str">
        <x:f>IF(COUNTIF('14_Site_Visits'!$H$5:$H$1000,"P0")&gt;0,"P0",IF(COUNTIF('14_Site_Visits'!$H$5:$H$1000,"P1")&gt;0,"P1","P2"))</x:f>
        <x:v>P0</x:v>
      </x:c>
      <x:c r="I21" s="53" t="str">
        <x:f>IF(COUNTIF('14_Site_Visits'!$W$5:$W$1000,"Failed")&gt;0,"Failed",IF(COUNTIF('14_Site_Visits'!$W$5:$W$1000,"Blocked")&gt;0,"Blocked",IF(COUNTIF('14_Site_Visits'!$W$5:$W$1000,"Passed")=B21,"Passed","Not Run")))</x:f>
        <x:v>Not Run</x:v>
      </x:c>
      <x:c r="J21" s="47" t="str">
        <x:v>Create and manage property viewing requests, schedule reminders, enforce cancellation reasons, and synchronize lead progress/history.</x:v>
      </x:c>
    </x:row>
    <x:row r="22" ht="38" customHeight="1">
      <x:c r="A22" s="47" t="str">
        <x:v>Contacts and Property Owners</x:v>
      </x:c>
      <x:c r="B22" s="53" t="n">
        <x:f>COUNTA('15_Contacts_Owners'!$A$5:$A$1000)</x:f>
        <x:v>11</x:v>
      </x:c>
      <x:c r="C22" s="53" t="n">
        <x:f>COUNTIF('15_Contacts_Owners'!$G$5:$G$1000,"Functional / Positive")+COUNTIF('15_Contacts_Owners'!$G$5:$G$1000,"Functional")</x:f>
        <x:v>1</x:v>
      </x:c>
      <x:c r="D22" s="53" t="n">
        <x:f>COUNTIF('15_Contacts_Owners'!$G$5:$G$1000,"Negative / Validation")+COUNTIF('15_Contacts_Owners'!$G$5:$G$1000,"Validation")</x:f>
        <x:v>1</x:v>
      </x:c>
      <x:c r="E22" s="53" t="n">
        <x:f>COUNTIF('15_Contacts_Owners'!$G$5:$G$1000,"Edge Case")+COUNTIF('15_Contacts_Owners'!$G$5:$G$1000,"Boundary")+COUNTIF('15_Contacts_Owners'!$G$5:$G$1000,"Concurrency")+COUNTIF('15_Contacts_Owners'!$G$5:$G$1000,"Idempotency / Concurrency")</x:f>
        <x:v>1</x:v>
      </x:c>
      <x:c r="F22" s="53" t="n">
        <x:f>COUNTIF('15_Contacts_Owners'!$G$5:$G$1000,"Security")+COUNTIF('15_Contacts_Owners'!$G$5:$G$1000,"Permission / Security")+COUNTIF('15_Contacts_Owners'!$G$5:$G$1000,"Security / IDOR")+COUNTIF('15_Contacts_Owners'!$G$5:$G$1000,"Permission")</x:f>
        <x:v>3</x:v>
      </x:c>
      <x:c r="G22" s="53" t="n">
        <x:f>COUNTIF('15_Contacts_Owners'!$G$5:$G$1000,"Integration")+COUNTIF('15_Contacts_Owners'!$G$5:$G$1000,"End-to-End")+COUNTIF('15_Contacts_Owners'!$G$5:$G$1000,"External Integration")</x:f>
        <x:v>0</x:v>
      </x:c>
      <x:c r="H22" s="53" t="str">
        <x:f>IF(COUNTIF('15_Contacts_Owners'!$H$5:$H$1000,"P0")&gt;0,"P0",IF(COUNTIF('15_Contacts_Owners'!$H$5:$H$1000,"P1")&gt;0,"P1","P2"))</x:f>
        <x:v>P0</x:v>
      </x:c>
      <x:c r="I22" s="53" t="str">
        <x:f>IF(COUNTIF('15_Contacts_Owners'!$W$5:$W$1000,"Failed")&gt;0,"Failed",IF(COUNTIF('15_Contacts_Owners'!$W$5:$W$1000,"Blocked")&gt;0,"Blocked",IF(COUNTIF('15_Contacts_Owners'!$W$5:$W$1000,"Passed")=B22,"Passed","Not Run")))</x:f>
        <x:v>Not Run</x:v>
      </x:c>
      <x:c r="J22" s="47" t="str">
        <x:v>Maintain tenant CRM contacts and owners, link them to leads/properties, and import eligible leads into contacts while restricting agents to relevant records.</x:v>
      </x:c>
    </x:row>
    <x:row r="23" ht="38" customHeight="1">
      <x:c r="A23" s="47" t="str">
        <x:v>Deals, Pipelines and Offers</x:v>
      </x:c>
      <x:c r="B23" s="53" t="n">
        <x:f>COUNTA('16_Deals_Offers'!$A$5:$A$1000)</x:f>
        <x:v>12</x:v>
      </x:c>
      <x:c r="C23" s="53" t="n">
        <x:f>COUNTIF('16_Deals_Offers'!$G$5:$G$1000,"Functional / Positive")+COUNTIF('16_Deals_Offers'!$G$5:$G$1000,"Functional")</x:f>
        <x:v>1</x:v>
      </x:c>
      <x:c r="D23" s="53" t="n">
        <x:f>COUNTIF('16_Deals_Offers'!$G$5:$G$1000,"Negative / Validation")+COUNTIF('16_Deals_Offers'!$G$5:$G$1000,"Validation")</x:f>
        <x:v>2</x:v>
      </x:c>
      <x:c r="E23" s="53" t="n">
        <x:f>COUNTIF('16_Deals_Offers'!$G$5:$G$1000,"Edge Case")+COUNTIF('16_Deals_Offers'!$G$5:$G$1000,"Boundary")+COUNTIF('16_Deals_Offers'!$G$5:$G$1000,"Concurrency")+COUNTIF('16_Deals_Offers'!$G$5:$G$1000,"Idempotency / Concurrency")</x:f>
        <x:v>2</x:v>
      </x:c>
      <x:c r="F23" s="53" t="n">
        <x:f>COUNTIF('16_Deals_Offers'!$G$5:$G$1000,"Security")+COUNTIF('16_Deals_Offers'!$G$5:$G$1000,"Permission / Security")+COUNTIF('16_Deals_Offers'!$G$5:$G$1000,"Security / IDOR")+COUNTIF('16_Deals_Offers'!$G$5:$G$1000,"Permission")</x:f>
        <x:v>2</x:v>
      </x:c>
      <x:c r="G23" s="53" t="n">
        <x:f>COUNTIF('16_Deals_Offers'!$G$5:$G$1000,"Integration")+COUNTIF('16_Deals_Offers'!$G$5:$G$1000,"End-to-End")+COUNTIF('16_Deals_Offers'!$G$5:$G$1000,"External Integration")</x:f>
        <x:v>1</x:v>
      </x:c>
      <x:c r="H23" s="53" t="str">
        <x:f>IF(COUNTIF('16_Deals_Offers'!$H$5:$H$1000,"P0")&gt;0,"P0",IF(COUNTIF('16_Deals_Offers'!$H$5:$H$1000,"P1")&gt;0,"P1","P2"))</x:f>
        <x:v>P0</x:v>
      </x:c>
      <x:c r="I23" s="53" t="str">
        <x:f>IF(COUNTIF('16_Deals_Offers'!$W$5:$W$1000,"Failed")&gt;0,"Failed",IF(COUNTIF('16_Deals_Offers'!$W$5:$W$1000,"Blocked")&gt;0,"Blocked",IF(COUNTIF('16_Deals_Offers'!$W$5:$W$1000,"Passed")=B23,"Passed","Not Run")))</x:f>
        <x:v>Not Run</x:v>
      </x:c>
      <x:c r="J23" s="47" t="str">
        <x:v>Track negotiations through agency/custom pipeline stages, assign deals, submit/respond to offers, and update the deal when an offer is accepted.</x:v>
      </x:c>
    </x:row>
    <x:row r="24" ht="38" customHeight="1">
      <x:c r="A24" s="47" t="str">
        <x:v>Leases and Operational Documents</x:v>
      </x:c>
      <x:c r="B24" s="53" t="n">
        <x:f>COUNTA('17_Leases_Docs'!$A$5:$A$1000)</x:f>
        <x:v>12</x:v>
      </x:c>
      <x:c r="C24" s="53" t="n">
        <x:f>COUNTIF('17_Leases_Docs'!$G$5:$G$1000,"Functional / Positive")+COUNTIF('17_Leases_Docs'!$G$5:$G$1000,"Functional")</x:f>
        <x:v>1</x:v>
      </x:c>
      <x:c r="D24" s="53" t="n">
        <x:f>COUNTIF('17_Leases_Docs'!$G$5:$G$1000,"Negative / Validation")+COUNTIF('17_Leases_Docs'!$G$5:$G$1000,"Validation")</x:f>
        <x:v>2</x:v>
      </x:c>
      <x:c r="E24" s="53" t="n">
        <x:f>COUNTIF('17_Leases_Docs'!$G$5:$G$1000,"Edge Case")+COUNTIF('17_Leases_Docs'!$G$5:$G$1000,"Boundary")+COUNTIF('17_Leases_Docs'!$G$5:$G$1000,"Concurrency")+COUNTIF('17_Leases_Docs'!$G$5:$G$1000,"Idempotency / Concurrency")</x:f>
        <x:v>1</x:v>
      </x:c>
      <x:c r="F24" s="53" t="n">
        <x:f>COUNTIF('17_Leases_Docs'!$G$5:$G$1000,"Security")+COUNTIF('17_Leases_Docs'!$G$5:$G$1000,"Permission / Security")+COUNTIF('17_Leases_Docs'!$G$5:$G$1000,"Security / IDOR")+COUNTIF('17_Leases_Docs'!$G$5:$G$1000,"Permission")</x:f>
        <x:v>3</x:v>
      </x:c>
      <x:c r="G24" s="53" t="n">
        <x:f>COUNTIF('17_Leases_Docs'!$G$5:$G$1000,"Integration")+COUNTIF('17_Leases_Docs'!$G$5:$G$1000,"End-to-End")+COUNTIF('17_Leases_Docs'!$G$5:$G$1000,"External Integration")</x:f>
        <x:v>0</x:v>
      </x:c>
      <x:c r="H24" s="53" t="str">
        <x:f>IF(COUNTIF('17_Leases_Docs'!$H$5:$H$1000,"P0")&gt;0,"P0",IF(COUNTIF('17_Leases_Docs'!$H$5:$H$1000,"P1")&gt;0,"P1","P2"))</x:f>
        <x:v>P0</x:v>
      </x:c>
      <x:c r="I24" s="53" t="str">
        <x:f>IF(COUNTIF('17_Leases_Docs'!$W$5:$W$1000,"Failed")&gt;0,"Failed",IF(COUNTIF('17_Leases_Docs'!$W$5:$W$1000,"Blocked")&gt;0,"Blocked",IF(COUNTIF('17_Leases_Docs'!$W$5:$W$1000,"Passed")=B24,"Passed","Not Run")))</x:f>
        <x:v>Not Run</x:v>
      </x:c>
      <x:c r="J24" s="47" t="str">
        <x:v>Record rental lease terms and attach agency documents to leads, properties, deals, contacts or owners. This does not process rent payments.</x:v>
      </x:c>
    </x:row>
    <x:row r="25" ht="38" customHeight="1">
      <x:c r="A25" s="47" t="str">
        <x:v>Tasks, Notifications and Audit Log</x:v>
      </x:c>
      <x:c r="B25" s="53" t="n">
        <x:f>COUNTA('18_Tasks_Notifications'!$A$5:$A$1000)</x:f>
        <x:v>12</x:v>
      </x:c>
      <x:c r="C25" s="53" t="n">
        <x:f>COUNTIF('18_Tasks_Notifications'!$G$5:$G$1000,"Functional / Positive")+COUNTIF('18_Tasks_Notifications'!$G$5:$G$1000,"Functional")</x:f>
        <x:v>1</x:v>
      </x:c>
      <x:c r="D25" s="53" t="n">
        <x:f>COUNTIF('18_Tasks_Notifications'!$G$5:$G$1000,"Negative / Validation")+COUNTIF('18_Tasks_Notifications'!$G$5:$G$1000,"Validation")</x:f>
        <x:v>1</x:v>
      </x:c>
      <x:c r="E25" s="53" t="n">
        <x:f>COUNTIF('18_Tasks_Notifications'!$G$5:$G$1000,"Edge Case")+COUNTIF('18_Tasks_Notifications'!$G$5:$G$1000,"Boundary")+COUNTIF('18_Tasks_Notifications'!$G$5:$G$1000,"Concurrency")+COUNTIF('18_Tasks_Notifications'!$G$5:$G$1000,"Idempotency / Concurrency")</x:f>
        <x:v>1</x:v>
      </x:c>
      <x:c r="F25" s="53" t="n">
        <x:f>COUNTIF('18_Tasks_Notifications'!$G$5:$G$1000,"Security")+COUNTIF('18_Tasks_Notifications'!$G$5:$G$1000,"Permission / Security")+COUNTIF('18_Tasks_Notifications'!$G$5:$G$1000,"Security / IDOR")+COUNTIF('18_Tasks_Notifications'!$G$5:$G$1000,"Permission")</x:f>
        <x:v>4</x:v>
      </x:c>
      <x:c r="G25" s="53" t="n">
        <x:f>COUNTIF('18_Tasks_Notifications'!$G$5:$G$1000,"Integration")+COUNTIF('18_Tasks_Notifications'!$G$5:$G$1000,"End-to-End")+COUNTIF('18_Tasks_Notifications'!$G$5:$G$1000,"External Integration")</x:f>
        <x:v>1</x:v>
      </x:c>
      <x:c r="H25" s="53" t="str">
        <x:f>IF(COUNTIF('18_Tasks_Notifications'!$H$5:$H$1000,"P0")&gt;0,"P0",IF(COUNTIF('18_Tasks_Notifications'!$H$5:$H$1000,"P1")&gt;0,"P1","P2"))</x:f>
        <x:v>P0</x:v>
      </x:c>
      <x:c r="I25" s="53" t="str">
        <x:f>IF(COUNTIF('18_Tasks_Notifications'!$W$5:$W$1000,"Failed")&gt;0,"Failed",IF(COUNTIF('18_Tasks_Notifications'!$W$5:$W$1000,"Blocked")&gt;0,"Blocked",IF(COUNTIF('18_Tasks_Notifications'!$W$5:$W$1000,"Passed")=B25,"Passed","Not Run")))</x:f>
        <x:v>Not Run</x:v>
      </x:c>
      <x:c r="J25" s="47" t="str">
        <x:v>Assign operational tasks, track due/status/priority, notify assignees, send reminders, mark notifications read, and preserve manager-visible audit history.</x:v>
      </x:c>
    </x:row>
    <x:row r="26" ht="38" customHeight="1">
      <x:c r="A26" s="47" t="str">
        <x:v>Availability and Appointments</x:v>
      </x:c>
      <x:c r="B26" s="53" t="n">
        <x:f>COUNTA('19_Appointments'!$A$5:$A$1000)</x:f>
        <x:v>12</x:v>
      </x:c>
      <x:c r="C26" s="53" t="n">
        <x:f>COUNTIF('19_Appointments'!$G$5:$G$1000,"Functional / Positive")+COUNTIF('19_Appointments'!$G$5:$G$1000,"Functional")</x:f>
        <x:v>1</x:v>
      </x:c>
      <x:c r="D26" s="53" t="n">
        <x:f>COUNTIF('19_Appointments'!$G$5:$G$1000,"Negative / Validation")+COUNTIF('19_Appointments'!$G$5:$G$1000,"Validation")</x:f>
        <x:v>1</x:v>
      </x:c>
      <x:c r="E26" s="53" t="n">
        <x:f>COUNTIF('19_Appointments'!$G$5:$G$1000,"Edge Case")+COUNTIF('19_Appointments'!$G$5:$G$1000,"Boundary")+COUNTIF('19_Appointments'!$G$5:$G$1000,"Concurrency")+COUNTIF('19_Appointments'!$G$5:$G$1000,"Idempotency / Concurrency")</x:f>
        <x:v>4</x:v>
      </x:c>
      <x:c r="F26" s="53" t="n">
        <x:f>COUNTIF('19_Appointments'!$G$5:$G$1000,"Security")+COUNTIF('19_Appointments'!$G$5:$G$1000,"Permission / Security")+COUNTIF('19_Appointments'!$G$5:$G$1000,"Security / IDOR")+COUNTIF('19_Appointments'!$G$5:$G$1000,"Permission")</x:f>
        <x:v>3</x:v>
      </x:c>
      <x:c r="G26" s="53" t="n">
        <x:f>COUNTIF('19_Appointments'!$G$5:$G$1000,"Integration")+COUNTIF('19_Appointments'!$G$5:$G$1000,"End-to-End")+COUNTIF('19_Appointments'!$G$5:$G$1000,"External Integration")</x:f>
        <x:v>0</x:v>
      </x:c>
      <x:c r="H26" s="53" t="str">
        <x:f>IF(COUNTIF('19_Appointments'!$H$5:$H$1000,"P0")&gt;0,"P0",IF(COUNTIF('19_Appointments'!$H$5:$H$1000,"P1")&gt;0,"P1","P2"))</x:f>
        <x:v>P0</x:v>
      </x:c>
      <x:c r="I26" s="53" t="str">
        <x:f>IF(COUNTIF('19_Appointments'!$W$5:$W$1000,"Failed")&gt;0,"Failed",IF(COUNTIF('19_Appointments'!$W$5:$W$1000,"Blocked")&gt;0,"Blocked",IF(COUNTIF('19_Appointments'!$W$5:$W$1000,"Passed")=B26,"Passed","Not Run")))</x:f>
        <x:v>Not Run</x:v>
      </x:c>
      <x:c r="J26" s="47" t="str">
        <x:v>Publish agent availability, let customers request appointment slots, notify agents, and manage requested/confirmed/completed/cancelled appointments.</x:v>
      </x:c>
    </x:row>
    <x:row r="27" ht="38" customHeight="1">
      <x:c r="A27" s="47" t="str">
        <x:v>Public Customer Accounts, Saved Properties and Searches</x:v>
      </x:c>
      <x:c r="B27" s="53" t="n">
        <x:f>COUNTA('20_Customer_Portal'!$A$5:$A$1000)</x:f>
        <x:v>12</x:v>
      </x:c>
      <x:c r="C27" s="53" t="n">
        <x:f>COUNTIF('20_Customer_Portal'!$G$5:$G$1000,"Functional / Positive")+COUNTIF('20_Customer_Portal'!$G$5:$G$1000,"Functional")</x:f>
        <x:v>1</x:v>
      </x:c>
      <x:c r="D27" s="53" t="n">
        <x:f>COUNTIF('20_Customer_Portal'!$G$5:$G$1000,"Negative / Validation")+COUNTIF('20_Customer_Portal'!$G$5:$G$1000,"Validation")</x:f>
        <x:v>1</x:v>
      </x:c>
      <x:c r="E27" s="53" t="n">
        <x:f>COUNTIF('20_Customer_Portal'!$G$5:$G$1000,"Edge Case")+COUNTIF('20_Customer_Portal'!$G$5:$G$1000,"Boundary")+COUNTIF('20_Customer_Portal'!$G$5:$G$1000,"Concurrency")+COUNTIF('20_Customer_Portal'!$G$5:$G$1000,"Idempotency / Concurrency")</x:f>
        <x:v>1</x:v>
      </x:c>
      <x:c r="F27" s="53" t="n">
        <x:f>COUNTIF('20_Customer_Portal'!$G$5:$G$1000,"Security")+COUNTIF('20_Customer_Portal'!$G$5:$G$1000,"Permission / Security")+COUNTIF('20_Customer_Portal'!$G$5:$G$1000,"Security / IDOR")+COUNTIF('20_Customer_Portal'!$G$5:$G$1000,"Permission")</x:f>
        <x:v>4</x:v>
      </x:c>
      <x:c r="G27" s="53" t="n">
        <x:f>COUNTIF('20_Customer_Portal'!$G$5:$G$1000,"Integration")+COUNTIF('20_Customer_Portal'!$G$5:$G$1000,"End-to-End")+COUNTIF('20_Customer_Portal'!$G$5:$G$1000,"External Integration")</x:f>
        <x:v>0</x:v>
      </x:c>
      <x:c r="H27" s="53" t="str">
        <x:f>IF(COUNTIF('20_Customer_Portal'!$H$5:$H$1000,"P0")&gt;0,"P0",IF(COUNTIF('20_Customer_Portal'!$H$5:$H$1000,"P1")&gt;0,"P1","P2"))</x:f>
        <x:v>P0</x:v>
      </x:c>
      <x:c r="I27" s="53" t="str">
        <x:f>IF(COUNTIF('20_Customer_Portal'!$W$5:$W$1000,"Failed")&gt;0,"Failed",IF(COUNTIF('20_Customer_Portal'!$W$5:$W$1000,"Blocked")&gt;0,"Blocked",IF(COUNTIF('20_Customer_Portal'!$W$5:$W$1000,"Passed")=B27,"Passed","Not Run")))</x:f>
        <x:v>Not Run</x:v>
      </x:c>
      <x:c r="J27" s="47" t="str">
        <x:v>Register/login customers per agency, persist a storefront session token, save eligible properties/searches, receive scheduled search alerts, and request appointments.</x:v>
      </x:c>
    </x:row>
    <x:row r="28" ht="38" customHeight="1">
      <x:c r="A28" s="47" t="str">
        <x:v>Website Content, Submissions and Agent Reviews</x:v>
      </x:c>
      <x:c r="B28" s="53" t="n">
        <x:f>COUNTA('21_Website_Content'!$A$5:$A$1000)</x:f>
        <x:v>12</x:v>
      </x:c>
      <x:c r="C28" s="53" t="n">
        <x:f>COUNTIF('21_Website_Content'!$G$5:$G$1000,"Functional / Positive")+COUNTIF('21_Website_Content'!$G$5:$G$1000,"Functional")</x:f>
        <x:v>1</x:v>
      </x:c>
      <x:c r="D28" s="53" t="n">
        <x:f>COUNTIF('21_Website_Content'!$G$5:$G$1000,"Negative / Validation")+COUNTIF('21_Website_Content'!$G$5:$G$1000,"Validation")</x:f>
        <x:v>1</x:v>
      </x:c>
      <x:c r="E28" s="53" t="n">
        <x:f>COUNTIF('21_Website_Content'!$G$5:$G$1000,"Edge Case")+COUNTIF('21_Website_Content'!$G$5:$G$1000,"Boundary")+COUNTIF('21_Website_Content'!$G$5:$G$1000,"Concurrency")+COUNTIF('21_Website_Content'!$G$5:$G$1000,"Idempotency / Concurrency")</x:f>
        <x:v>2</x:v>
      </x:c>
      <x:c r="F28" s="53" t="n">
        <x:f>COUNTIF('21_Website_Content'!$G$5:$G$1000,"Security")+COUNTIF('21_Website_Content'!$G$5:$G$1000,"Permission / Security")+COUNTIF('21_Website_Content'!$G$5:$G$1000,"Security / IDOR")+COUNTIF('21_Website_Content'!$G$5:$G$1000,"Permission")</x:f>
        <x:v>3</x:v>
      </x:c>
      <x:c r="G28" s="53" t="n">
        <x:f>COUNTIF('21_Website_Content'!$G$5:$G$1000,"Integration")+COUNTIF('21_Website_Content'!$G$5:$G$1000,"End-to-End")+COUNTIF('21_Website_Content'!$G$5:$G$1000,"External Integration")</x:f>
        <x:v>1</x:v>
      </x:c>
      <x:c r="H28" s="53" t="str">
        <x:f>IF(COUNTIF('21_Website_Content'!$H$5:$H$1000,"P0")&gt;0,"P0",IF(COUNTIF('21_Website_Content'!$H$5:$H$1000,"P1")&gt;0,"P1","P2"))</x:f>
        <x:v>P0</x:v>
      </x:c>
      <x:c r="I28" s="53" t="str">
        <x:f>IF(COUNTIF('21_Website_Content'!$W$5:$W$1000,"Failed")&gt;0,"Failed",IF(COUNTIF('21_Website_Content'!$W$5:$W$1000,"Blocked")&gt;0,"Blocked",IF(COUNTIF('21_Website_Content'!$W$5:$W$1000,"Passed")=B28,"Passed","Not Run")))</x:f>
        <x:v>Not Run</x:v>
      </x:c>
      <x:c r="J28" s="47" t="str">
        <x:v>Manage agency website submissions and moderated agent reviews while converting valuable public forms into CRM leads where implemented.</x:v>
      </x:c>
    </x:row>
    <x:row r="29" ht="38" customHeight="1">
      <x:c r="A29" s="47" t="str">
        <x:v>Meta Connections and Social Publishing</x:v>
      </x:c>
      <x:c r="B29" s="53" t="n">
        <x:f>COUNTA('22_Social_Media'!$A$5:$A$1000)</x:f>
        <x:v>13</x:v>
      </x:c>
      <x:c r="C29" s="53" t="n">
        <x:f>COUNTIF('22_Social_Media'!$G$5:$G$1000,"Functional / Positive")+COUNTIF('22_Social_Media'!$G$5:$G$1000,"Functional")</x:f>
        <x:v>1</x:v>
      </x:c>
      <x:c r="D29" s="53" t="n">
        <x:f>COUNTIF('22_Social_Media'!$G$5:$G$1000,"Negative / Validation")+COUNTIF('22_Social_Media'!$G$5:$G$1000,"Validation")</x:f>
        <x:v>2</x:v>
      </x:c>
      <x:c r="E29" s="53" t="n">
        <x:f>COUNTIF('22_Social_Media'!$G$5:$G$1000,"Edge Case")+COUNTIF('22_Social_Media'!$G$5:$G$1000,"Boundary")+COUNTIF('22_Social_Media'!$G$5:$G$1000,"Concurrency")+COUNTIF('22_Social_Media'!$G$5:$G$1000,"Idempotency / Concurrency")</x:f>
        <x:v>1</x:v>
      </x:c>
      <x:c r="F29" s="53" t="n">
        <x:f>COUNTIF('22_Social_Media'!$G$5:$G$1000,"Security")+COUNTIF('22_Social_Media'!$G$5:$G$1000,"Permission / Security")+COUNTIF('22_Social_Media'!$G$5:$G$1000,"Security / IDOR")+COUNTIF('22_Social_Media'!$G$5:$G$1000,"Permission")</x:f>
        <x:v>3</x:v>
      </x:c>
      <x:c r="G29" s="53" t="n">
        <x:f>COUNTIF('22_Social_Media'!$G$5:$G$1000,"Integration")+COUNTIF('22_Social_Media'!$G$5:$G$1000,"End-to-End")+COUNTIF('22_Social_Media'!$G$5:$G$1000,"External Integration")</x:f>
        <x:v>1</x:v>
      </x:c>
      <x:c r="H29" s="53" t="str">
        <x:f>IF(COUNTIF('22_Social_Media'!$H$5:$H$1000,"P0")&gt;0,"P0",IF(COUNTIF('22_Social_Media'!$H$5:$H$1000,"P1")&gt;0,"P1","P2"))</x:f>
        <x:v>P0</x:v>
      </x:c>
      <x:c r="I29" s="53" t="str">
        <x:f>IF(COUNTIF('22_Social_Media'!$W$5:$W$1000,"Failed")&gt;0,"Failed",IF(COUNTIF('22_Social_Media'!$W$5:$W$1000,"Blocked")&gt;0,"Blocked",IF(COUNTIF('22_Social_Media'!$W$5:$W$1000,"Passed")=B29,"Passed","Not Run")))</x:f>
        <x:v>Not Run</x:v>
      </x:c>
      <x:c r="J29" s="47" t="str">
        <x:v>Connect agency Facebook/Instagram accounts, create/schedule/publish posts, track per-target outcomes, and safely edit/delete supported published media.</x:v>
      </x:c>
    </x:row>
    <x:row r="30" ht="38" customHeight="1">
      <x:c r="A30" s="47" t="str">
        <x:v>Dashboard, Reports, Matching and Comparison</x:v>
      </x:c>
      <x:c r="B30" s="53" t="n">
        <x:f>COUNTA('23_Reports_Matching'!$A$5:$A$1000)</x:f>
        <x:v>12</x:v>
      </x:c>
      <x:c r="C30" s="53" t="n">
        <x:f>COUNTIF('23_Reports_Matching'!$G$5:$G$1000,"Functional / Positive")+COUNTIF('23_Reports_Matching'!$G$5:$G$1000,"Functional")</x:f>
        <x:v>2</x:v>
      </x:c>
      <x:c r="D30" s="53" t="n">
        <x:f>COUNTIF('23_Reports_Matching'!$G$5:$G$1000,"Negative / Validation")+COUNTIF('23_Reports_Matching'!$G$5:$G$1000,"Validation")</x:f>
        <x:v>1</x:v>
      </x:c>
      <x:c r="E30" s="53" t="n">
        <x:f>COUNTIF('23_Reports_Matching'!$G$5:$G$1000,"Edge Case")+COUNTIF('23_Reports_Matching'!$G$5:$G$1000,"Boundary")+COUNTIF('23_Reports_Matching'!$G$5:$G$1000,"Concurrency")+COUNTIF('23_Reports_Matching'!$G$5:$G$1000,"Idempotency / Concurrency")</x:f>
        <x:v>1</x:v>
      </x:c>
      <x:c r="F30" s="53" t="n">
        <x:f>COUNTIF('23_Reports_Matching'!$G$5:$G$1000,"Security")+COUNTIF('23_Reports_Matching'!$G$5:$G$1000,"Permission / Security")+COUNTIF('23_Reports_Matching'!$G$5:$G$1000,"Security / IDOR")+COUNTIF('23_Reports_Matching'!$G$5:$G$1000,"Permission")</x:f>
        <x:v>4</x:v>
      </x:c>
      <x:c r="G30" s="53" t="n">
        <x:f>COUNTIF('23_Reports_Matching'!$G$5:$G$1000,"Integration")+COUNTIF('23_Reports_Matching'!$G$5:$G$1000,"End-to-End")+COUNTIF('23_Reports_Matching'!$G$5:$G$1000,"External Integration")</x:f>
        <x:v>0</x:v>
      </x:c>
      <x:c r="H30" s="53" t="str">
        <x:f>IF(COUNTIF('23_Reports_Matching'!$H$5:$H$1000,"P0")&gt;0,"P0",IF(COUNTIF('23_Reports_Matching'!$H$5:$H$1000,"P1")&gt;0,"P1","P2"))</x:f>
        <x:v>P0</x:v>
      </x:c>
      <x:c r="I30" s="53" t="str">
        <x:f>IF(COUNTIF('23_Reports_Matching'!$W$5:$W$1000,"Failed")&gt;0,"Failed",IF(COUNTIF('23_Reports_Matching'!$W$5:$W$1000,"Blocked")&gt;0,"Blocked",IF(COUNTIF('23_Reports_Matching'!$W$5:$W$1000,"Passed")=B30,"Passed","Not Run")))</x:f>
        <x:v>Not Run</x:v>
      </x:c>
      <x:c r="J30" s="47" t="str">
        <x:v>Summarize tenant operations, score property matches for a lead, compare selected properties, and expose platform/agency dashboard metrics.</x:v>
      </x:c>
    </x:row>
    <x:row r="31" ht="38" customHeight="1">
      <x:c r="A31" s="47" t="str">
        <x:v>Agency SaaS Subscription Billing</x:v>
      </x:c>
      <x:c r="B31" s="53" t="n">
        <x:f>COUNTA('24_Subscriptions'!$A$5:$A$1000)</x:f>
        <x:v>13</x:v>
      </x:c>
      <x:c r="C31" s="53" t="n">
        <x:f>COUNTIF('24_Subscriptions'!$G$5:$G$1000,"Functional / Positive")+COUNTIF('24_Subscriptions'!$G$5:$G$1000,"Functional")</x:f>
        <x:v>1</x:v>
      </x:c>
      <x:c r="D31" s="53" t="n">
        <x:f>COUNTIF('24_Subscriptions'!$G$5:$G$1000,"Negative / Validation")+COUNTIF('24_Subscriptions'!$G$5:$G$1000,"Validation")</x:f>
        <x:v>1</x:v>
      </x:c>
      <x:c r="E31" s="53" t="n">
        <x:f>COUNTIF('24_Subscriptions'!$G$5:$G$1000,"Edge Case")+COUNTIF('24_Subscriptions'!$G$5:$G$1000,"Boundary")+COUNTIF('24_Subscriptions'!$G$5:$G$1000,"Concurrency")+COUNTIF('24_Subscriptions'!$G$5:$G$1000,"Idempotency / Concurrency")</x:f>
        <x:v>1</x:v>
      </x:c>
      <x:c r="F31" s="53" t="n">
        <x:f>COUNTIF('24_Subscriptions'!$G$5:$G$1000,"Security")+COUNTIF('24_Subscriptions'!$G$5:$G$1000,"Permission / Security")+COUNTIF('24_Subscriptions'!$G$5:$G$1000,"Security / IDOR")+COUNTIF('24_Subscriptions'!$G$5:$G$1000,"Permission")</x:f>
        <x:v>4</x:v>
      </x:c>
      <x:c r="G31" s="53" t="n">
        <x:f>COUNTIF('24_Subscriptions'!$G$5:$G$1000,"Integration")+COUNTIF('24_Subscriptions'!$G$5:$G$1000,"End-to-End")+COUNTIF('24_Subscriptions'!$G$5:$G$1000,"External Integration")</x:f>
        <x:v>0</x:v>
      </x:c>
      <x:c r="H31" s="53" t="str">
        <x:f>IF(COUNTIF('24_Subscriptions'!$H$5:$H$1000,"P0")&gt;0,"P0",IF(COUNTIF('24_Subscriptions'!$H$5:$H$1000,"P1")&gt;0,"P1","P2"))</x:f>
        <x:v>P0</x:v>
      </x:c>
      <x:c r="I31" s="53" t="str">
        <x:f>IF(COUNTIF('24_Subscriptions'!$W$5:$W$1000,"Failed")&gt;0,"Failed",IF(COUNTIF('24_Subscriptions'!$W$5:$W$1000,"Blocked")&gt;0,"Blocked",IF(COUNTIF('24_Subscriptions'!$W$5:$W$1000,"Passed")=B31,"Passed","Not Run")))</x:f>
        <x:v>Not Run</x:v>
      </x:c>
      <x:c r="J31" s="47" t="str">
        <x:v>Gate RealtyOS access using agency SaaS subscription/payment state and integrate Stripe Checkout, billing portal and webhooks. This is not property-sale or rent collection.</x:v>
      </x:c>
    </x:row>
    <x:row r="32" ht="38" customHeight="1">
      <x:c r="A32" s="47" t="str">
        <x:v>Platform Administration</x:v>
      </x:c>
      <x:c r="B32" s="53" t="n">
        <x:f>COUNTA('25_Platform_Admin'!$A$5:$A$1000)</x:f>
        <x:v>11</x:v>
      </x:c>
      <x:c r="C32" s="53" t="n">
        <x:f>COUNTIF('25_Platform_Admin'!$G$5:$G$1000,"Functional / Positive")+COUNTIF('25_Platform_Admin'!$G$5:$G$1000,"Functional")</x:f>
        <x:v>1</x:v>
      </x:c>
      <x:c r="D32" s="53" t="n">
        <x:f>COUNTIF('25_Platform_Admin'!$G$5:$G$1000,"Negative / Validation")+COUNTIF('25_Platform_Admin'!$G$5:$G$1000,"Validation")</x:f>
        <x:v>1</x:v>
      </x:c>
      <x:c r="E32" s="53" t="n">
        <x:f>COUNTIF('25_Platform_Admin'!$G$5:$G$1000,"Edge Case")+COUNTIF('25_Platform_Admin'!$G$5:$G$1000,"Boundary")+COUNTIF('25_Platform_Admin'!$G$5:$G$1000,"Concurrency")+COUNTIF('25_Platform_Admin'!$G$5:$G$1000,"Idempotency / Concurrency")</x:f>
        <x:v>1</x:v>
      </x:c>
      <x:c r="F32" s="53" t="n">
        <x:f>COUNTIF('25_Platform_Admin'!$G$5:$G$1000,"Security")+COUNTIF('25_Platform_Admin'!$G$5:$G$1000,"Permission / Security")+COUNTIF('25_Platform_Admin'!$G$5:$G$1000,"Security / IDOR")+COUNTIF('25_Platform_Admin'!$G$5:$G$1000,"Permission")</x:f>
        <x:v>3</x:v>
      </x:c>
      <x:c r="G32" s="53" t="n">
        <x:f>COUNTIF('25_Platform_Admin'!$G$5:$G$1000,"Integration")+COUNTIF('25_Platform_Admin'!$G$5:$G$1000,"End-to-End")+COUNTIF('25_Platform_Admin'!$G$5:$G$1000,"External Integration")</x:f>
        <x:v>1</x:v>
      </x:c>
      <x:c r="H32" s="53" t="str">
        <x:f>IF(COUNTIF('25_Platform_Admin'!$H$5:$H$1000,"P0")&gt;0,"P0",IF(COUNTIF('25_Platform_Admin'!$H$5:$H$1000,"P1")&gt;0,"P1","P2"))</x:f>
        <x:v>P0</x:v>
      </x:c>
      <x:c r="I32" s="53" t="str">
        <x:f>IF(COUNTIF('25_Platform_Admin'!$W$5:$W$1000,"Failed")&gt;0,"Failed",IF(COUNTIF('25_Platform_Admin'!$W$5:$W$1000,"Blocked")&gt;0,"Blocked",IF(COUNTIF('25_Platform_Admin'!$W$5:$W$1000,"Passed")=B32,"Passed","Not Run")))</x:f>
        <x:v>Not Run</x:v>
      </x:c>
      <x:c r="J32" s="47" t="str">
        <x:v>Let a super admin inspect/update agencies, suspend access, and view platform summary while keeping tenant staff out.</x:v>
      </x:c>
    </x:row>
    <x:row r="33" ht="38" customHeight="1">
      <x:c r="A33" s="47" t="str">
        <x:v>Nepal Localization and Bikram Sambat</x:v>
      </x:c>
      <x:c r="B33" s="53" t="n">
        <x:f>COUNTA('26_Localization'!$A$5:$A$1000)</x:f>
        <x:v>12</x:v>
      </x:c>
      <x:c r="C33" s="53" t="n">
        <x:f>COUNTIF('26_Localization'!$G$5:$G$1000,"Functional / Positive")+COUNTIF('26_Localization'!$G$5:$G$1000,"Functional")</x:f>
        <x:v>2</x:v>
      </x:c>
      <x:c r="D33" s="53" t="n">
        <x:f>COUNTIF('26_Localization'!$G$5:$G$1000,"Negative / Validation")+COUNTIF('26_Localization'!$G$5:$G$1000,"Validation")</x:f>
        <x:v>2</x:v>
      </x:c>
      <x:c r="E33" s="53" t="n">
        <x:f>COUNTIF('26_Localization'!$G$5:$G$1000,"Edge Case")+COUNTIF('26_Localization'!$G$5:$G$1000,"Boundary")+COUNTIF('26_Localization'!$G$5:$G$1000,"Concurrency")+COUNTIF('26_Localization'!$G$5:$G$1000,"Idempotency / Concurrency")</x:f>
        <x:v>2</x:v>
      </x:c>
      <x:c r="F33" s="53" t="n">
        <x:f>COUNTIF('26_Localization'!$G$5:$G$1000,"Security")+COUNTIF('26_Localization'!$G$5:$G$1000,"Permission / Security")+COUNTIF('26_Localization'!$G$5:$G$1000,"Security / IDOR")+COUNTIF('26_Localization'!$G$5:$G$1000,"Permission")</x:f>
        <x:v>2</x:v>
      </x:c>
      <x:c r="G33" s="53" t="n">
        <x:f>COUNTIF('26_Localization'!$G$5:$G$1000,"Integration")+COUNTIF('26_Localization'!$G$5:$G$1000,"End-to-End")+COUNTIF('26_Localization'!$G$5:$G$1000,"External Integration")</x:f>
        <x:v>0</x:v>
      </x:c>
      <x:c r="H33" s="53" t="str">
        <x:f>IF(COUNTIF('26_Localization'!$H$5:$H$1000,"P0")&gt;0,"P0",IF(COUNTIF('26_Localization'!$H$5:$H$1000,"P1")&gt;0,"P1","P2"))</x:f>
        <x:v>P0</x:v>
      </x:c>
      <x:c r="I33" s="53" t="str">
        <x:f>IF(COUNTIF('26_Localization'!$W$5:$W$1000,"Failed")&gt;0,"Failed",IF(COUNTIF('26_Localization'!$W$5:$W$1000,"Blocked")&gt;0,"Blocked",IF(COUNTIF('26_Localization'!$W$5:$W$1000,"Passed")=B33,"Passed","Not Run")))</x:f>
        <x:v>Not Run</x:v>
      </x:c>
      <x:c r="J33" s="47" t="str">
        <x:v>Switch Nepali/English interfaces and BS/AD dates, format Nepali digits, NPR lakh/crore, Nepal phones/addresses, localized PDFs and message templates in Asia/Kathmandu.</x:v>
      </x:c>
    </x:row>
    <x:row r="34" ht="38" customHeight="1">
      <x:c r="A34" s="47" t="str">
        <x:v>Scheduler and Background Jobs</x:v>
      </x:c>
      <x:c r="B34" s="53" t="n">
        <x:f>COUNTA('27_Background_Jobs'!$A$5:$A$1000)</x:f>
        <x:v>12</x:v>
      </x:c>
      <x:c r="C34" s="53" t="n">
        <x:f>COUNTIF('27_Background_Jobs'!$G$5:$G$1000,"Functional / Positive")+COUNTIF('27_Background_Jobs'!$G$5:$G$1000,"Functional")</x:f>
        <x:v>1</x:v>
      </x:c>
      <x:c r="D34" s="53" t="n">
        <x:f>COUNTIF('27_Background_Jobs'!$G$5:$G$1000,"Negative / Validation")+COUNTIF('27_Background_Jobs'!$G$5:$G$1000,"Validation")</x:f>
        <x:v>1</x:v>
      </x:c>
      <x:c r="E34" s="53" t="n">
        <x:f>COUNTIF('27_Background_Jobs'!$G$5:$G$1000,"Edge Case")+COUNTIF('27_Background_Jobs'!$G$5:$G$1000,"Boundary")+COUNTIF('27_Background_Jobs'!$G$5:$G$1000,"Concurrency")+COUNTIF('27_Background_Jobs'!$G$5:$G$1000,"Idempotency / Concurrency")</x:f>
        <x:v>2</x:v>
      </x:c>
      <x:c r="F34" s="53" t="n">
        <x:f>COUNTIF('27_Background_Jobs'!$G$5:$G$1000,"Security")+COUNTIF('27_Background_Jobs'!$G$5:$G$1000,"Permission / Security")+COUNTIF('27_Background_Jobs'!$G$5:$G$1000,"Security / IDOR")+COUNTIF('27_Background_Jobs'!$G$5:$G$1000,"Permission")</x:f>
        <x:v>3</x:v>
      </x:c>
      <x:c r="G34" s="53" t="n">
        <x:f>COUNTIF('27_Background_Jobs'!$G$5:$G$1000,"Integration")+COUNTIF('27_Background_Jobs'!$G$5:$G$1000,"End-to-End")+COUNTIF('27_Background_Jobs'!$G$5:$G$1000,"External Integration")</x:f>
        <x:v>0</x:v>
      </x:c>
      <x:c r="H34" s="53" t="str">
        <x:f>IF(COUNTIF('27_Background_Jobs'!$H$5:$H$1000,"P0")&gt;0,"P0",IF(COUNTIF('27_Background_Jobs'!$H$5:$H$1000,"P1")&gt;0,"P1","P2"))</x:f>
        <x:v>P0</x:v>
      </x:c>
      <x:c r="I34" s="53" t="str">
        <x:f>IF(COUNTIF('27_Background_Jobs'!$W$5:$W$1000,"Failed")&gt;0,"Failed",IF(COUNTIF('27_Background_Jobs'!$W$5:$W$1000,"Blocked")&gt;0,"Blocked",IF(COUNTIF('27_Background_Jobs'!$W$5:$W$1000,"Passed")=B34,"Passed","Not Run")))</x:f>
        <x:v>Not Run</x:v>
      </x:c>
      <x:c r="J34" s="47" t="str">
        <x:v>Run time-based listing freshness, lead automation, site-visit reminders, task reminders, saved-search alerts and scheduled social publishing from the Docker scheduler loop.</x:v>
      </x:c>
    </x:row>
    <x:row r="35" ht="38" customHeight="1">
      <x:c r="A35" s="47" t="str">
        <x:v>Security and Permissions</x:v>
      </x:c>
      <x:c r="B35" s="53" t="n">
        <x:f>COUNTA('28_Security'!$A$5:$A$1000)</x:f>
        <x:v>24</x:v>
      </x:c>
      <x:c r="C35" s="53" t="n">
        <x:f>COUNTIF('28_Security'!$G$5:$G$1000,"Functional / Positive")+COUNTIF('28_Security'!$G$5:$G$1000,"Functional")</x:f>
        <x:v>0</x:v>
      </x:c>
      <x:c r="D35" s="53" t="n">
        <x:f>COUNTIF('28_Security'!$G$5:$G$1000,"Negative / Validation")+COUNTIF('28_Security'!$G$5:$G$1000,"Validation")</x:f>
        <x:v>0</x:v>
      </x:c>
      <x:c r="E35" s="53" t="n">
        <x:f>COUNTIF('28_Security'!$G$5:$G$1000,"Edge Case")+COUNTIF('28_Security'!$G$5:$G$1000,"Boundary")+COUNTIF('28_Security'!$G$5:$G$1000,"Concurrency")+COUNTIF('28_Security'!$G$5:$G$1000,"Idempotency / Concurrency")</x:f>
        <x:v>0</x:v>
      </x:c>
      <x:c r="F35" s="53" t="n">
        <x:f>COUNTIF('28_Security'!$G$5:$G$1000,"Security")+COUNTIF('28_Security'!$G$5:$G$1000,"Permission / Security")+COUNTIF('28_Security'!$G$5:$G$1000,"Security / IDOR")+COUNTIF('28_Security'!$G$5:$G$1000,"Permission")</x:f>
        <x:v>24</x:v>
      </x:c>
      <x:c r="G35" s="53" t="n">
        <x:f>COUNTIF('28_Security'!$G$5:$G$1000,"Integration")+COUNTIF('28_Security'!$G$5:$G$1000,"End-to-End")+COUNTIF('28_Security'!$G$5:$G$1000,"External Integration")</x:f>
        <x:v>0</x:v>
      </x:c>
      <x:c r="H35" s="53" t="str">
        <x:f>IF(COUNTIF('28_Security'!$H$5:$H$1000,"P0")&gt;0,"P0",IF(COUNTIF('28_Security'!$H$5:$H$1000,"P1")&gt;0,"P1","P2"))</x:f>
        <x:v>P0</x:v>
      </x:c>
      <x:c r="I35" s="53" t="str">
        <x:f>IF(COUNTIF('28_Security'!$W$5:$W$1000,"Failed")&gt;0,"Failed",IF(COUNTIF('28_Security'!$W$5:$W$1000,"Blocked")&gt;0,"Blocked",IF(COUNTIF('28_Security'!$W$5:$W$1000,"Passed")=B35,"Passed","Not Run")))</x:f>
        <x:v>Not Run</x:v>
      </x:c>
      <x:c r="J35" s="47" t="str">
        <x:v>Dedicated cross-system QA suite.</x:v>
      </x:c>
    </x:row>
    <x:row r="36" ht="38" customHeight="1">
      <x:c r="A36" s="47" t="str">
        <x:v>End-to-End Journeys</x:v>
      </x:c>
      <x:c r="B36" s="53" t="n">
        <x:f>COUNTA('29_End_to_End'!$A$5:$A$1000)</x:f>
        <x:v>12</x:v>
      </x:c>
      <x:c r="C36" s="53" t="n">
        <x:f>COUNTIF('29_End_to_End'!$G$5:$G$1000,"Functional / Positive")+COUNTIF('29_End_to_End'!$G$5:$G$1000,"Functional")</x:f>
        <x:v>0</x:v>
      </x:c>
      <x:c r="D36" s="53" t="n">
        <x:f>COUNTIF('29_End_to_End'!$G$5:$G$1000,"Negative / Validation")+COUNTIF('29_End_to_End'!$G$5:$G$1000,"Validation")</x:f>
        <x:v>0</x:v>
      </x:c>
      <x:c r="E36" s="53" t="n">
        <x:f>COUNTIF('29_End_to_End'!$G$5:$G$1000,"Edge Case")+COUNTIF('29_End_to_End'!$G$5:$G$1000,"Boundary")+COUNTIF('29_End_to_End'!$G$5:$G$1000,"Concurrency")+COUNTIF('29_End_to_End'!$G$5:$G$1000,"Idempotency / Concurrency")</x:f>
        <x:v>0</x:v>
      </x:c>
      <x:c r="F36" s="53" t="n">
        <x:f>COUNTIF('29_End_to_End'!$G$5:$G$1000,"Security")+COUNTIF('29_End_to_End'!$G$5:$G$1000,"Permission / Security")+COUNTIF('29_End_to_End'!$G$5:$G$1000,"Security / IDOR")+COUNTIF('29_End_to_End'!$G$5:$G$1000,"Permission")</x:f>
        <x:v>0</x:v>
      </x:c>
      <x:c r="G36" s="53" t="n">
        <x:f>COUNTIF('29_End_to_End'!$G$5:$G$1000,"Integration")+COUNTIF('29_End_to_End'!$G$5:$G$1000,"End-to-End")+COUNTIF('29_End_to_End'!$G$5:$G$1000,"External Integration")</x:f>
        <x:v>12</x:v>
      </x:c>
      <x:c r="H36" s="53" t="str">
        <x:f>IF(COUNTIF('29_End_to_End'!$H$5:$H$1000,"P0")&gt;0,"P0",IF(COUNTIF('29_End_to_End'!$H$5:$H$1000,"P1")&gt;0,"P1","P2"))</x:f>
        <x:v>P0</x:v>
      </x:c>
      <x:c r="I36" s="53" t="str">
        <x:f>IF(COUNTIF('29_End_to_End'!$W$5:$W$1000,"Failed")&gt;0,"Failed",IF(COUNTIF('29_End_to_End'!$W$5:$W$1000,"Blocked")&gt;0,"Blocked",IF(COUNTIF('29_End_to_End'!$W$5:$W$1000,"Passed")=B36,"Passed","Not Run")))</x:f>
        <x:v>Not Run</x:v>
      </x:c>
      <x:c r="J36" s="47" t="str">
        <x:v>Dedicated cross-system QA suite.</x:v>
      </x:c>
    </x:row>
    <x:row r="37" ht="38" customHeight="1">
      <x:c r="A37" s="47" t="str">
        <x:v>Regression Suite</x:v>
      </x:c>
      <x:c r="B37" s="53" t="n">
        <x:f>COUNTA('30_Regression'!$A$5:$A$1000)</x:f>
        <x:v>28</x:v>
      </x:c>
      <x:c r="C37" s="53" t="n">
        <x:f>COUNTIF('30_Regression'!$G$5:$G$1000,"Functional / Positive")+COUNTIF('30_Regression'!$G$5:$G$1000,"Functional")</x:f>
        <x:v>0</x:v>
      </x:c>
      <x:c r="D37" s="53" t="n">
        <x:f>COUNTIF('30_Regression'!$G$5:$G$1000,"Negative / Validation")+COUNTIF('30_Regression'!$G$5:$G$1000,"Validation")</x:f>
        <x:v>0</x:v>
      </x:c>
      <x:c r="E37" s="53" t="n">
        <x:f>COUNTIF('30_Regression'!$G$5:$G$1000,"Edge Case")+COUNTIF('30_Regression'!$G$5:$G$1000,"Boundary")+COUNTIF('30_Regression'!$G$5:$G$1000,"Concurrency")+COUNTIF('30_Regression'!$G$5:$G$1000,"Idempotency / Concurrency")</x:f>
        <x:v>0</x:v>
      </x:c>
      <x:c r="F37" s="53" t="n">
        <x:f>COUNTIF('30_Regression'!$G$5:$G$1000,"Security")+COUNTIF('30_Regression'!$G$5:$G$1000,"Permission / Security")+COUNTIF('30_Regression'!$G$5:$G$1000,"Security / IDOR")+COUNTIF('30_Regression'!$G$5:$G$1000,"Permission")</x:f>
        <x:v>0</x:v>
      </x:c>
      <x:c r="G37" s="53" t="n">
        <x:f>COUNTIF('30_Regression'!$G$5:$G$1000,"Integration")+COUNTIF('30_Regression'!$G$5:$G$1000,"End-to-End")+COUNTIF('30_Regression'!$G$5:$G$1000,"External Integration")</x:f>
        <x:v>0</x:v>
      </x:c>
      <x:c r="H37" s="53" t="str">
        <x:f>IF(COUNTIF('30_Regression'!$H$5:$H$1000,"P0")&gt;0,"P0",IF(COUNTIF('30_Regression'!$H$5:$H$1000,"P1")&gt;0,"P1","P2"))</x:f>
        <x:v>P0</x:v>
      </x:c>
      <x:c r="I37" s="53" t="str">
        <x:f>IF(COUNTIF('30_Regression'!$W$5:$W$1000,"Failed")&gt;0,"Failed",IF(COUNTIF('30_Regression'!$W$5:$W$1000,"Blocked")&gt;0,"Blocked",IF(COUNTIF('30_Regression'!$W$5:$W$1000,"Passed")=B37,"Passed","Not Run")))</x:f>
        <x:v>Not Run</x:v>
      </x:c>
      <x:c r="J37" s="47" t="str">
        <x:v>Dedicated cross-system QA suite.</x:v>
      </x:c>
    </x:row>
    <x:row r="38" ht="38" customHeight="1">
      <x:c r="A38" s="48" t="str">
        <x:v>Edge Cases and Concurrency</x:v>
      </x:c>
      <x:c r="B38" s="54" t="n">
        <x:f>COUNTA('31_Edge_Concurrency'!$A$5:$A$1000)</x:f>
        <x:v>16</x:v>
      </x:c>
      <x:c r="C38" s="54" t="n">
        <x:f>COUNTIF('31_Edge_Concurrency'!$G$5:$G$1000,"Functional / Positive")+COUNTIF('31_Edge_Concurrency'!$G$5:$G$1000,"Functional")</x:f>
        <x:v>0</x:v>
      </x:c>
      <x:c r="D38" s="54" t="n">
        <x:f>COUNTIF('31_Edge_Concurrency'!$G$5:$G$1000,"Negative / Validation")+COUNTIF('31_Edge_Concurrency'!$G$5:$G$1000,"Validation")</x:f>
        <x:v>0</x:v>
      </x:c>
      <x:c r="E38" s="54" t="n">
        <x:f>COUNTIF('31_Edge_Concurrency'!$G$5:$G$1000,"Edge Case")+COUNTIF('31_Edge_Concurrency'!$G$5:$G$1000,"Boundary")+COUNTIF('31_Edge_Concurrency'!$G$5:$G$1000,"Concurrency")+COUNTIF('31_Edge_Concurrency'!$G$5:$G$1000,"Idempotency / Concurrency")</x:f>
        <x:v>13</x:v>
      </x:c>
      <x:c r="F38" s="54" t="n">
        <x:f>COUNTIF('31_Edge_Concurrency'!$G$5:$G$1000,"Security")+COUNTIF('31_Edge_Concurrency'!$G$5:$G$1000,"Permission / Security")+COUNTIF('31_Edge_Concurrency'!$G$5:$G$1000,"Security / IDOR")+COUNTIF('31_Edge_Concurrency'!$G$5:$G$1000,"Permission")</x:f>
        <x:v>0</x:v>
      </x:c>
      <x:c r="G38" s="54" t="n">
        <x:f>COUNTIF('31_Edge_Concurrency'!$G$5:$G$1000,"Integration")+COUNTIF('31_Edge_Concurrency'!$G$5:$G$1000,"End-to-End")+COUNTIF('31_Edge_Concurrency'!$G$5:$G$1000,"External Integration")</x:f>
        <x:v>0</x:v>
      </x:c>
      <x:c r="H38" s="54" t="str">
        <x:f>IF(COUNTIF('31_Edge_Concurrency'!$H$5:$H$1000,"P0")&gt;0,"P0",IF(COUNTIF('31_Edge_Concurrency'!$H$5:$H$1000,"P1")&gt;0,"P1","P2"))</x:f>
        <x:v>P0</x:v>
      </x:c>
      <x:c r="I38" s="54" t="str">
        <x:f>IF(COUNTIF('31_Edge_Concurrency'!$W$5:$W$1000,"Failed")&gt;0,"Failed",IF(COUNTIF('31_Edge_Concurrency'!$W$5:$W$1000,"Blocked")&gt;0,"Blocked",IF(COUNTIF('31_Edge_Concurrency'!$W$5:$W$1000,"Passed")=B38,"Passed","Not Run")))</x:f>
        <x:v>Not Run</x:v>
      </x:c>
      <x:c r="J38" s="48" t="str">
        <x:v>Dedicated cross-system QA suite.</x:v>
      </x:c>
    </x:row>
    <x:row r="39">
      <x:c r="A39" s="56" t="str">
        <x:v>TOTAL</x:v>
      </x:c>
      <x:c r="B39" s="64" t="n">
        <x:f>SUM(B8:B38)</x:f>
        <x:v>401</x:v>
      </x:c>
      <x:c r="C39" s="64" t="n">
        <x:f>SUM(C8:C38)</x:f>
        <x:v>29</x:v>
      </x:c>
      <x:c r="D39" s="64" t="n">
        <x:f>SUM(D8:D38)</x:f>
        <x:v>34</x:v>
      </x:c>
      <x:c r="E39" s="64" t="n">
        <x:f>SUM(E8:E38)</x:f>
        <x:v>52</x:v>
      </x:c>
      <x:c r="F39" s="64" t="n">
        <x:f>SUM(F8:F38)</x:f>
        <x:v>110</x:v>
      </x:c>
      <x:c r="G39" s="64" t="n">
        <x:f>SUM(G8:G38)</x:f>
        <x:v>27</x:v>
      </x:c>
      <x:c r="H39" s="64" t="str">
        <x:v>P0</x:v>
      </x:c>
      <x:c r="I39" s="64" t="str">
        <x:f>IF(COUNTIF(I8:I38,"Failed")&gt;0,"Failed",IF(COUNTIF(I8:I38,"Blocked")&gt;0,"Blocked",IF(COUNTIF(I8:I38,"Passed")=31,"Passed","Not Run")))</x:f>
        <x:v>Not Run</x:v>
      </x:c>
      <x:c r="J39" s="58" t="str">
        <x:v>Formula-driven totals across all execution sheets.</x:v>
      </x:c>
    </x:row>
    <x:row r="42">
      <x:c r="A42" s="60" t="str">
        <x:v>Requires clarification / not determined from current implementation</x:v>
      </x:c>
      <x:c r="B42" s="60"/>
      <x:c r="C42" s="60"/>
      <x:c r="D42" s="60"/>
      <x:c r="E42" s="60"/>
      <x:c r="F42" s="60"/>
      <x:c r="G42" s="60"/>
      <x:c r="H42" s="60"/>
      <x:c r="I42" s="60"/>
      <x:c r="J42" s="60"/>
    </x:row>
    <x:row r="43" ht="30" customHeight="1">
      <x:c r="A43" s="63" t="str">
        <x:v>• Exact production deployment target, object storage, backup, malware scanning and audit-retention controls are not present in the reviewed repositories.</x:v>
      </x:c>
      <x:c r="B43" s="63"/>
      <x:c r="C43" s="63"/>
      <x:c r="D43" s="63"/>
      <x:c r="E43" s="63"/>
      <x:c r="F43" s="63"/>
      <x:c r="G43" s="63"/>
      <x:c r="H43" s="63"/>
      <x:c r="I43" s="63"/>
      <x:c r="J43" s="63"/>
    </x:row>
    <x:row r="44" ht="30" customHeight="1">
      <x:c r="A44" s="63" t="str">
        <x:v>• Public customer token expiry/rotation is not evident; current storefront stores a long-lived token in localStorage.</x:v>
      </x:c>
      <x:c r="B44" s="63"/>
      <x:c r="C44" s="63"/>
      <x:c r="D44" s="63"/>
      <x:c r="E44" s="63"/>
      <x:c r="F44" s="63"/>
      <x:c r="G44" s="63"/>
      <x:c r="H44" s="63"/>
      <x:c r="I44" s="63"/>
      <x:c r="J44" s="63"/>
    </x:row>
    <x:row r="45" ht="30" customHeight="1">
      <x:c r="A45" s="63" t="str">
        <x:v>• Appointment double-booking prevention is not clearly enforced by a database constraint or locking workflow.</x:v>
      </x:c>
      <x:c r="B45" s="63"/>
      <x:c r="C45" s="63"/>
      <x:c r="D45" s="63"/>
      <x:c r="E45" s="63"/>
      <x:c r="F45" s="63"/>
      <x:c r="G45" s="63"/>
      <x:c r="H45" s="63"/>
      <x:c r="I45" s="63"/>
      <x:c r="J45" s="63"/>
    </x:row>
    <x:row r="46" ht="30" customHeight="1">
      <x:c r="A46" s="63" t="str">
        <x:v>• Optimistic locking/version checks are not evident for concurrent lead, deal, offer or property updates.</x:v>
      </x:c>
      <x:c r="B46" s="63"/>
      <x:c r="C46" s="63"/>
      <x:c r="D46" s="63"/>
      <x:c r="E46" s="63"/>
      <x:c r="F46" s="63"/>
      <x:c r="G46" s="63"/>
      <x:c r="H46" s="63"/>
      <x:c r="I46" s="63"/>
      <x:c r="J46" s="63"/>
    </x:row>
    <x:row r="47" ht="30" customHeight="1">
      <x:c r="A47" s="63" t="str">
        <x:v>• The Docker scheduler is a polling loop; durable queueing, distributed locking, retries and production monitoring are not determined.</x:v>
      </x:c>
      <x:c r="B47" s="63"/>
      <x:c r="C47" s="63"/>
      <x:c r="D47" s="63"/>
      <x:c r="E47" s="63"/>
      <x:c r="F47" s="63"/>
      <x:c r="G47" s="63"/>
      <x:c r="H47" s="63"/>
      <x:c r="I47" s="63"/>
      <x:c r="J47" s="63"/>
    </x:row>
    <x:row r="48" ht="30" customHeight="1">
      <x:c r="A48" s="63" t="str">
        <x:v>• Production Meta app/webhook/OAuth configuration and real provider permissions must be validated in a controlled external test environment.</x:v>
      </x:c>
      <x:c r="B48" s="63"/>
      <x:c r="C48" s="63"/>
      <x:c r="D48" s="63"/>
      <x:c r="E48" s="63"/>
      <x:c r="F48" s="63"/>
      <x:c r="G48" s="63"/>
      <x:c r="H48" s="63"/>
      <x:c r="I48" s="63"/>
      <x:c r="J48" s="63"/>
    </x:row>
    <x:row r="49" ht="30" customHeight="1">
      <x:c r="A49" s="63" t="str">
        <x:v>• Some validation expectations (for example lease date ordering and upload malware scanning) require execution/clarification if not enforced by serializers or infrastructure.</x:v>
      </x:c>
      <x:c r="B49" s="63"/>
      <x:c r="C49" s="63"/>
      <x:c r="D49" s="63"/>
      <x:c r="E49" s="63"/>
      <x:c r="F49" s="63"/>
      <x:c r="G49" s="63"/>
      <x:c r="H49" s="63"/>
      <x:c r="I49" s="63"/>
      <x:c r="J49" s="63"/>
    </x:row>
  </x:sheetData>
  <x:mergeCells>
    <x:mergeCell ref="A1:Z1"/>
    <x:mergeCell ref="A2:Z2"/>
    <x:mergeCell ref="A4:J4"/>
    <x:mergeCell ref="A42:J42"/>
    <x:mergeCell ref="A43:J43"/>
    <x:mergeCell ref="A44:J44"/>
    <x:mergeCell ref="A45:J45"/>
    <x:mergeCell ref="A46:J46"/>
    <x:mergeCell ref="A47:J47"/>
    <x:mergeCell ref="A48:J48"/>
    <x:mergeCell ref="A49:J49"/>
  </x:mergeCells>
  <x:conditionalFormatting sqref="H8:H39">
    <x:cfRule type="expression" dxfId="248" priority="1">
      <x:formula>H8="P0"</x:formula>
    </x:cfRule>
    <x:cfRule type="expression" dxfId="249" priority="2">
      <x:formula>H8="P1"</x:formula>
    </x:cfRule>
  </x:conditionalFormatting>
  <x:conditionalFormatting sqref="I8:I39">
    <x:cfRule type="expression" dxfId="250" priority="3">
      <x:formula>I8="Passed"</x:formula>
    </x:cfRule>
    <x:cfRule type="expression" dxfId="251" priority="4">
      <x:formula>I8="Failed"</x:formula>
    </x:cfRule>
    <x:cfRule type="expression" dxfId="252" priority="5">
      <x:formula>I8="Blocked"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02e557f336495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Authentication and Access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AUTH-001</x:v>
      </x:c>
      <x:c r="B5" s="46" t="str">
        <x:v>Authentication and Access</x:v>
      </x:c>
      <x:c r="C5" s="46" t="str">
        <x:v>Authentication and Access</x:v>
      </x:c>
      <x:c r="D5" s="46" t="str">
        <x:v>Complete the primary Authentication and Access workflow</x:v>
      </x:c>
      <x:c r="E5" s="46" t="str">
        <x:v>Register a new agency owner, complete login/OTP, and open /dashboard.</x:v>
      </x:c>
      <x:c r="F5" s="46" t="str">
        <x:v>Complete the primary Authentication and Access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Public registrant</x:v>
      </x:c>
      <x:c r="K5" s="46" t="str">
        <x:v>Email service configured for OTP/reset verification when exercised; two active paid agencies; one inactive user; one expired-subscription agency.</x:v>
      </x:c>
      <x:c r="L5" s="46" t="str">
        <x:v>Unique owner email; strong password; valid/invalid OTPs; expired and single-use reset tokens; valid/expired access and refresh JWTs.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Email service configured for OTP/reset verification when exercised; two active paid agencies; one inactive user; one expired-subscription agency.
2. Sign in/use role: Public registrant.
3. Navigate to /register, /login, /verify-login-otp, /forgot-password, /reset-password, /payment-required and capture the initial UI/API/database state.
4. Execute: Register a new agency owner, complete login/OTP, and open /dashboard.
5. Inspect the network request/response against: POST /api/auth/register/; POST /api/auth/login/; POST /api/auth/verify-login-otp/; POST /api/auth/resend-login-otp/; POST /api/auth/token/refresh/; POST /api/auth/password-reset/; POST /api/auth/password-reset/confirm/.
6. Refresh/re-query the feature and related modules: Agency subscription gate, email delivery, JWT authentication, frontend Zustand token persistence and Axios refresh interceptor.
7. Verify affected models (AgencyUser, Agency, LoginOTP, PasswordResetToken) and all listed side effects.</x:v>
      </x:c>
      <x:c r="O5" s="46" t="str">
        <x:v>The owner and agency are created atomically, valid credentials produce the implemented login/OTP response, and authenticated API access succeeds only while the user and subscription remain active.</x:v>
      </x:c>
      <x:c r="P5" s="46" t="str">
        <x:v>Registration adds Agency and AgencyUser records; OTP/reset operations add/update their token records; successful reset changes only the password hash; failed authentication must not change business data.</x:v>
      </x:c>
      <x:c r="Q5" s="46" t="str">
        <x:v>Use the documented routes: POST /api/auth/register/; POST /api/auth/login/; POST /api/auth/verify-login-otp/; POST /api/auth/resend-login-otp/; POST /api/auth/token/refresh/; POST /api/auth/password-reset/; POST /api/auth/password-reset/confirm/. Successful create operations return 201, reads/updates/actions 200, and deletes 204 where provided; capture exact endpoint-specific response.</x:v>
      </x:c>
      <x:c r="R5" s="46" t="str">
        <x:v>Start at /register, /login, /verify-login-otp, /forgot-password, /reset-password, /payment-required. The visible state must match the saved API response after refresh.</x:v>
      </x:c>
      <x:c r="S5" s="46" t="str">
        <x:v>Email may be sent; frontend stores/clears tokens; subscription/payment-required routing may change.</x:v>
      </x:c>
      <x:c r="T5" s="46" t="str">
        <x:v>Agency subscription gate, email delivery, JWT authentication, frontend Zustand token persistence and Axios refresh interceptor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AUTH-002</x:v>
      </x:c>
      <x:c r="B6" s="47" t="str">
        <x:v>Authentication and Access</x:v>
      </x:c>
      <x:c r="C6" s="47" t="str">
        <x:v>Authentication and Access</x:v>
      </x:c>
      <x:c r="D6" s="47" t="str">
        <x:v>Reject invalid or missing Authentication and Access inputs</x:v>
      </x:c>
      <x:c r="E6" s="47" t="str">
        <x:v>Reject missing email/password, invalid credentials, weak passwords, malformed tokens, wrong/expired OTPs, and reused reset tokens without leaking account existence.</x:v>
      </x:c>
      <x:c r="F6" s="47" t="str">
        <x:v>Reject invalid or missing Authentication and Access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Public registrant</x:v>
      </x:c>
      <x:c r="K6" s="47" t="str">
        <x:v>Email service configured for OTP/reset verification when exercised; two active paid agencies; one inactive user; one expired-subscription agency.</x:v>
      </x:c>
      <x:c r="L6" s="47" t="str">
        <x:v>Unique owner email; strong password; valid/invalid OTPs; expired and single-use reset tokens; valid/expired access and refresh JWTs.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Email service configured for OTP/reset verification when exercised; two active paid agencies; one inactive user; one expired-subscription agency.
2. Sign in/use role: Public registrant.
3. Navigate to /register, /login, /verify-login-otp, /forgot-password, /reset-password, /payment-required and capture the initial UI/API/database state.
4. Execute: Reject missing email/password, invalid credentials, weak passwords, malformed tokens, wrong/expired OTPs, and reused reset tokens without leaking account existence.
5. Inspect the network request/response against: POST /api/auth/register/; POST /api/auth/login/; POST /api/auth/verify-login-otp/; POST /api/auth/resend-login-otp/; POST /api/auth/token/refresh/; POST /api/auth/password-reset/; POST /api/auth/password-reset/confirm/.
6. Refresh/re-query the feature and related modules: Agency subscription gate, email delivery, JWT authentication, frontend Zustand token persistence and Axios refresh interceptor.
7. Verify affected models (AgencyUser, Agency, LoginOTP, PasswordResetToken)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Agency subscription gate, email delivery, JWT authentication, frontend Zustand token persistence and Axios refresh interceptor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AUTH-003</x:v>
      </x:c>
      <x:c r="B7" s="47" t="str">
        <x:v>Authentication and Access</x:v>
      </x:c>
      <x:c r="C7" s="47" t="str">
        <x:v>Authentication and Access</x:v>
      </x:c>
      <x:c r="D7" s="47" t="str">
        <x:v>Enforce Authentication and Access role permissions</x:v>
      </x:c>
      <x:c r="E7" s="47" t="str">
        <x:v>Public endpoints are anonymous; application endpoints require JWT; super admin bypasses agency subscription; ordinary users must belong to an agency with an active subscription.</x:v>
      </x:c>
      <x:c r="F7" s="47" t="str">
        <x:v>Enforce Authentication and Access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Email service configured for OTP/reset verification when exercised; two active paid agencies; one inactive user; one expired-subscription agency.</x:v>
      </x:c>
      <x:c r="L7" s="47" t="str">
        <x:v>Unique owner email; strong password; valid/invalid OTPs; expired and single-use reset tokens; valid/expired access and refresh JWTs.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Email service configured for OTP/reset verification when exercised; two active paid agencies; one inactive user; one expired-subscription agency.
2. Sign in/use role: Exercise every listed role plus an unauthenticated caller.
3. Navigate to /register, /login, /verify-login-otp, /forgot-password, /reset-password, /payment-required and capture the initial UI/API/database state.
4. Execute: Public endpoints are anonymous; application endpoints require JWT; super admin bypasses agency subscription; ordinary users must belong to an agency with an active subscription.
5. Inspect the network request/response against: POST /api/auth/register/; POST /api/auth/login/; POST /api/auth/verify-login-otp/; POST /api/auth/resend-login-otp/; POST /api/auth/token/refresh/; POST /api/auth/password-reset/; POST /api/auth/password-reset/confirm/.
6. Refresh/re-query the feature and related modules: Agency subscription gate, email delivery, JWT authentication, frontend Zustand token persistence and Axios refresh interceptor.
7. Verify affected models (AgencyUser, Agency, LoginOTP, PasswordResetToken)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Agency subscription gate, email delivery, JWT authentication, frontend Zustand token persistence and Axios refresh interceptor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AUTH-004</x:v>
      </x:c>
      <x:c r="B8" s="47" t="str">
        <x:v>Authentication and Access</x:v>
      </x:c>
      <x:c r="C8" s="47" t="str">
        <x:v>Authentication and Access</x:v>
      </x:c>
      <x:c r="D8" s="47" t="str">
        <x:v>Prevent cross-tenant access in Authentication and Access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Authentication and Access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Email service configured for OTP/reset verification when exercised; two active paid agencies; one inactive user; one expired-subscription agency.</x:v>
      </x:c>
      <x:c r="L8" s="47" t="str">
        <x:v>Unique owner email; strong password; valid/invalid OTPs; expired and single-use reset tokens; valid/expired access and refresh JWTs.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Email service configured for OTP/reset verification when exercised; two active paid agencies; one inactive user; one expired-subscription agency.
2. Sign in/use role: Agency A authenticated user and Agency B fixture.
3. Navigate to /register, /login, /verify-login-otp, /forgot-password, /reset-password, /payment-required and capture the initial UI/API/database state.
4. Execute: Substitute Agency B object IDs, related IDs, slugs, files and filter parameters into every Agency A list/detail/create/update/delete/action request.
5. Inspect the network request/response against: POST /api/auth/register/; POST /api/auth/login/; POST /api/auth/verify-login-otp/; POST /api/auth/resend-login-otp/; POST /api/auth/token/refresh/; POST /api/auth/password-reset/; POST /api/auth/password-reset/confirm/.
6. Refresh/re-query the feature and related modules: Agency subscription gate, email delivery, JWT authentication, frontend Zustand token persistence and Axios refresh interceptor.
7. Verify affected models (AgencyUser, Agency, LoginOTP, PasswordResetToken)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Agency subscription gate, email delivery, JWT authentication, frontend Zustand token persistence and Axios refresh interceptor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AUTH-005</x:v>
      </x:c>
      <x:c r="B9" s="47" t="str">
        <x:v>Authentication and Access</x:v>
      </x:c>
      <x:c r="C9" s="47" t="str">
        <x:v>Authentication and Access</x:v>
      </x:c>
      <x:c r="D9" s="47" t="str">
        <x:v>Verify Authentication and Access list, search and filter scoping</x:v>
      </x:c>
      <x:c r="E9" s="47" t="str">
        <x:v>N/A for authentication; verify throttling counters and consistent error envelopes.</x:v>
      </x:c>
      <x:c r="F9" s="47" t="str">
        <x:v>Verify Authentication and Access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Public registrant</x:v>
      </x:c>
      <x:c r="K9" s="47" t="str">
        <x:v>Email service configured for OTP/reset verification when exercised; two active paid agencies; one inactive user; one expired-subscription agency.</x:v>
      </x:c>
      <x:c r="L9" s="47" t="str">
        <x:v>Unique owner email; strong password; valid/invalid OTPs; expired and single-use reset tokens; valid/expired access and refresh JWTs.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Email service configured for OTP/reset verification when exercised; two active paid agencies; one inactive user; one expired-subscription agency.
2. Sign in/use role: Public registrant.
3. Navigate to /register, /login, /verify-login-otp, /forgot-password, /reset-password, /payment-required and capture the initial UI/API/database state.
4. Execute: N/A for authentication; verify throttling counters and consistent error envelopes.
5. Inspect the network request/response against: POST /api/auth/register/; POST /api/auth/login/; POST /api/auth/verify-login-otp/; POST /api/auth/resend-login-otp/; POST /api/auth/token/refresh/; POST /api/auth/password-reset/; POST /api/auth/password-reset/confirm/.
6. Refresh/re-query the feature and related modules: Agency subscription gate, email delivery, JWT authentication, frontend Zustand token persistence and Axios refresh interceptor.
7. Verify affected models (AgencyUser, Agency, LoginOTP, PasswordResetToken)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Agency subscription gate, email delivery, JWT authentication, frontend Zustand token persistence and Axios refresh interceptor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AUTH-006</x:v>
      </x:c>
      <x:c r="B10" s="47" t="str">
        <x:v>Authentication and Access</x:v>
      </x:c>
      <x:c r="C10" s="47" t="str">
        <x:v>Authentication and Access</x:v>
      </x:c>
      <x:c r="D10" s="47" t="str">
        <x:v>Test duplicate submission and idempotency for Authentication and Access</x:v>
      </x:c>
      <x:c r="E10" s="47" t="str">
        <x:v>Double-click/submit identical requests sequentially and concurrently. Current rule: Repeated login/reset requests are throttled or return the same non-enumerating response; a reset token is single use.</x:v>
      </x:c>
      <x:c r="F10" s="47" t="str">
        <x:v>Test duplicate submission and idempotency for Authentication and Access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Public registrant</x:v>
      </x:c>
      <x:c r="K10" s="47" t="str">
        <x:v>Email service configured for OTP/reset verification when exercised; two active paid agencies; one inactive user; one expired-subscription agency.</x:v>
      </x:c>
      <x:c r="L10" s="47" t="str">
        <x:v>Unique owner email; strong password; valid/invalid OTPs; expired and single-use reset tokens; valid/expired access and refresh JWTs.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Email service configured for OTP/reset verification when exercised; two active paid agencies; one inactive user; one expired-subscription agency.
2. Sign in/use role: Public registrant.
3. Navigate to /register, /login, /verify-login-otp, /forgot-password, /reset-password, /payment-required and capture the initial UI/API/database state.
4. Execute: Double-click/submit identical requests sequentially and concurrently. Current rule: Repeated login/reset requests are throttled or return the same non-enumerating response; a reset token is single use.
5. Inspect the network request/response against: POST /api/auth/register/; POST /api/auth/login/; POST /api/auth/verify-login-otp/; POST /api/auth/resend-login-otp/; POST /api/auth/token/refresh/; POST /api/auth/password-reset/; POST /api/auth/password-reset/confirm/.
6. Refresh/re-query the feature and related modules: Agency subscription gate, email delivery, JWT authentication, frontend Zustand token persistence and Axios refresh interceptor.
7. Verify affected models (AgencyUser, Agency, LoginOTP, PasswordResetToken)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Agency subscription gate, email delivery, JWT authentication, frontend Zustand token persistence and Axios refresh interceptor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AUTH-007</x:v>
      </x:c>
      <x:c r="B11" s="47" t="str">
        <x:v>Authentication and Access</x:v>
      </x:c>
      <x:c r="C11" s="47" t="str">
        <x:v>Authentication and Access</x:v>
      </x:c>
      <x:c r="D11" s="47" t="str">
        <x:v>Verify deletion and dependency behavior for Authentication and Access</x:v>
      </x:c>
      <x:c r="E11" s="47" t="str">
        <x:v>Delete an unreferenced record, a referenced record, a foreign-tenant record, and an already-deleted ID. Current rule: Logout is client-side token clearing. User soft deletion/deactivation must make subsequent authenticated requests fail; no hard-delete endpoint is exposed here.</x:v>
      </x:c>
      <x:c r="F11" s="47" t="str">
        <x:v>Verify deletion and dependency behavior for Authentication and Access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Email service configured for OTP/reset verification when exercised; two active paid agencies; one inactive user; one expired-subscription agency.</x:v>
      </x:c>
      <x:c r="L11" s="47" t="str">
        <x:v>Unique owner email; strong password; valid/invalid OTPs; expired and single-use reset tokens; valid/expired access and refresh JWTs.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Email service configured for OTP/reset verification when exercised; two active paid agencies; one inactive user; one expired-subscription agency.
2. Sign in/use role: Agency Owner or Agency Manager.
3. Navigate to /register, /login, /verify-login-otp, /forgot-password, /reset-password, /payment-required and capture the initial UI/API/database state.
4. Execute: Delete an unreferenced record, a referenced record, a foreign-tenant record, and an already-deleted ID. Current rule: Logout is client-side token clearing. User soft deletion/deactivation must make subsequent authenticated requests fail; no hard-delete endpoint is exposed here.
5. Inspect the network request/response against: POST /api/auth/register/; POST /api/auth/login/; POST /api/auth/verify-login-otp/; POST /api/auth/resend-login-otp/; POST /api/auth/token/refresh/; POST /api/auth/password-reset/; POST /api/auth/password-reset/confirm/.
6. Refresh/re-query the feature and related modules: Agency subscription gate, email delivery, JWT authentication, frontend Zustand token persistence and Axios refresh interceptor.
7. Verify affected models (AgencyUser, Agency, LoginOTP, PasswordResetToken)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Agency subscription gate, email delivery, JWT authentication, frontend Zustand token persistence and Axios refresh interceptor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AUTH-008</x:v>
      </x:c>
      <x:c r="B12" s="47" t="str">
        <x:v>Authentication and Access</x:v>
      </x:c>
      <x:c r="C12" s="47" t="str">
        <x:v>Authentication and Access</x:v>
      </x:c>
      <x:c r="D12" s="47" t="str">
        <x:v>Recover cleanly from API/network failure during Authentication and Access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Authentication and Access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Public registrant</x:v>
      </x:c>
      <x:c r="K12" s="47" t="str">
        <x:v>Email service configured for OTP/reset verification when exercised; two active paid agencies; one inactive user; one expired-subscription agency.</x:v>
      </x:c>
      <x:c r="L12" s="47" t="str">
        <x:v>Unique owner email; strong password; valid/invalid OTPs; expired and single-use reset tokens; valid/expired access and refresh JWTs.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Email service configured for OTP/reset verification when exercised; two active paid agencies; one inactive user; one expired-subscription agency.
2. Sign in/use role: Public registrant.
3. Navigate to /register, /login, /verify-login-otp, /forgot-password, /reset-password, /payment-required and capture the initial UI/API/database state.
4. Execute: Simulate timeout, offline browser, 500 response, expired access token and failed refresh while submitting the primary workflow.
5. Inspect the network request/response against: POST /api/auth/register/; POST /api/auth/login/; POST /api/auth/verify-login-otp/; POST /api/auth/resend-login-otp/; POST /api/auth/token/refresh/; POST /api/auth/password-reset/; POST /api/auth/password-reset/confirm/.
6. Refresh/re-query the feature and related modules: Agency subscription gate, email delivery, JWT authentication, frontend Zustand token persistence and Axios refresh interceptor.
7. Verify affected models (AgencyUser, Agency, LoginOTP, PasswordResetToken)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Agency subscription gate, email delivery, JWT authentication, frontend Zustand token persistence and Axios refresh interceptor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AUTH-009</x:v>
      </x:c>
      <x:c r="B13" s="47" t="str">
        <x:v>Authentication and Access</x:v>
      </x:c>
      <x:c r="C13" s="47" t="str">
        <x:v>Authentication and Access</x:v>
      </x:c>
      <x:c r="D13" s="47" t="str">
        <x:v>Login throttling after repeated failures</x:v>
      </x:c>
      <x:c r="E13" s="47" t="str">
        <x:v>Send repeated incorrect passwords from the same throttle scope.</x:v>
      </x:c>
      <x:c r="F13" s="47" t="str">
        <x:v>Login throttling after repeated failures</x:v>
      </x:c>
      <x:c r="G13" s="47" t="str">
        <x:v>Security</x:v>
      </x:c>
      <x:c r="H13" s="53" t="str">
        <x:v>P0</x:v>
      </x:c>
      <x:c r="I13" s="53" t="str">
        <x:v>Critical</x:v>
      </x:c>
      <x:c r="J13" s="47" t="str">
        <x:v>Agency user</x:v>
      </x:c>
      <x:c r="K13" s="47" t="str">
        <x:v>Email service configured for OTP/reset verification when exercised; two active paid agencies; one inactive user; one expired-subscription agency.</x:v>
      </x:c>
      <x:c r="L13" s="47" t="str">
        <x:v>Unique owner email; strong password; valid/invalid OTPs; expired and single-use reset tokens; valid/expired access and refresh JWTs.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Email service configured for OTP/reset verification when exercised; two active paid agencies; one inactive user; one expired-subscription agency.
2. Sign in/use role: Agency user.
3. Navigate to /register, /login, /verify-login-otp, /forgot-password, /reset-password, /payment-required and capture the initial UI/API/database state.
4. Execute: Send repeated incorrect passwords from the same throttle scope.
5. Inspect the network request/response against: POST /api/auth/register/; POST /api/auth/login/; POST /api/auth/verify-login-otp/; POST /api/auth/resend-login-otp/; POST /api/auth/token/refresh/; POST /api/auth/password-reset/; POST /api/auth/password-reset/confirm/.
6. Refresh/re-query the feature and related modules: Agency subscription gate, email delivery, JWT authentication, frontend Zustand token persistence and Axios refresh interceptor.
7. Verify affected models (AgencyUser, Agency, LoginOTP, PasswordResetToken) and all listed side effects.</x:v>
      </x:c>
      <x:c r="O13" s="47" t="str">
        <x:v>Requests exceeding the configured authentication throttle are rejected; no token is issued.</x:v>
      </x:c>
      <x:c r="P13" s="47" t="str">
        <x:v>No user or agency rows change; throttle cache increments.</x:v>
      </x:c>
      <x:c r="Q13" s="47" t="str">
        <x:v>POST /api/auth/login/ returns the configured throttle response (normally 429) after the limit.</x:v>
      </x:c>
      <x:c r="R13" s="47" t="str">
        <x:v>Login shows a safe retry message and remains signed out.</x:v>
      </x:c>
      <x:c r="S13" s="47" t="str">
        <x:v>Authentication telemetry only.</x:v>
      </x:c>
      <x:c r="T13" s="47" t="str">
        <x:v>Agency subscription gate, email delivery, JWT authentication, frontend Zustand token persistence and Axios refresh interceptor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AUTH-010</x:v>
      </x:c>
      <x:c r="B14" s="47" t="str">
        <x:v>Authentication and Access</x:v>
      </x:c>
      <x:c r="C14" s="47" t="str">
        <x:v>Authentication and Access</x:v>
      </x:c>
      <x:c r="D14" s="47" t="str">
        <x:v>OTP resend invalidates or supersedes the previous challenge</x:v>
      </x:c>
      <x:c r="E14" s="47" t="str">
        <x:v>Request a resend, then try the old and new OTP values.</x:v>
      </x:c>
      <x:c r="F14" s="47" t="str">
        <x:v>OTP resend invalidates or supersedes the previous challenge</x:v>
      </x:c>
      <x:c r="G14" s="47" t="str">
        <x:v>State Transition</x:v>
      </x:c>
      <x:c r="H14" s="53" t="str">
        <x:v>P1</x:v>
      </x:c>
      <x:c r="I14" s="53" t="str">
        <x:v>High</x:v>
      </x:c>
      <x:c r="J14" s="47" t="str">
        <x:v>Agency user awaiting OTP</x:v>
      </x:c>
      <x:c r="K14" s="47" t="str">
        <x:v>Email service configured for OTP/reset verification when exercised; two active paid agencies; one inactive user; one expired-subscription agency.</x:v>
      </x:c>
      <x:c r="L14" s="47" t="str">
        <x:v>Unique owner email; strong password; valid/invalid OTPs; expired and single-use reset tokens; valid/expired access and refresh JWTs.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Email service configured for OTP/reset verification when exercised; two active paid agencies; one inactive user; one expired-subscription agency.
2. Sign in/use role: Agency user awaiting OTP.
3. Navigate to /register, /login, /verify-login-otp, /forgot-password, /reset-password, /payment-required and capture the initial UI/API/database state.
4. Execute: Request a resend, then try the old and new OTP values.
5. Inspect the network request/response against: POST /api/auth/register/; POST /api/auth/login/; POST /api/auth/verify-login-otp/; POST /api/auth/resend-login-otp/; POST /api/auth/token/refresh/; POST /api/auth/password-reset/; POST /api/auth/password-reset/confirm/.
6. Refresh/re-query the feature and related modules: Agency subscription gate, email delivery, JWT authentication, frontend Zustand token persistence and Axios refresh interceptor.
7. Verify affected models (AgencyUser, Agency, LoginOTP, PasswordResetToken) and all listed side effects.</x:v>
      </x:c>
      <x:c r="O14" s="47" t="str">
        <x:v>Only the currently valid OTP challenge can complete login according to LoginOTP state.</x:v>
      </x:c>
      <x:c r="P14" s="47" t="str">
        <x:v>LoginOTP attempt/expiry state updates; no duplicate user is created.</x:v>
      </x:c>
      <x:c r="Q14" s="47" t="str">
        <x:v>Old OTP is rejected; valid current OTP returns tokens.</x:v>
      </x:c>
      <x:c r="R14" s="47" t="str">
        <x:v>OTP page preserves the email context and reports errors without exposing codes.</x:v>
      </x:c>
      <x:c r="S14" s="47" t="str">
        <x:v>OTP email is sent once per accepted resend.</x:v>
      </x:c>
      <x:c r="T14" s="47" t="str">
        <x:v>Agency subscription gate, email delivery, JWT authentication, frontend Zustand token persistence and Axios refresh interceptor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AUTH-011</x:v>
      </x:c>
      <x:c r="B15" s="47" t="str">
        <x:v>Authentication and Access</x:v>
      </x:c>
      <x:c r="C15" s="47" t="str">
        <x:v>Authentication and Access</x:v>
      </x:c>
      <x:c r="D15" s="47" t="str">
        <x:v>Refresh token single-flight behavior in the UI</x:v>
      </x:c>
      <x:c r="E15" s="47" t="str">
        <x:v>Expire the access token and trigger several API calls simultaneously.</x:v>
      </x:c>
      <x:c r="F15" s="47" t="str">
        <x:v>Refresh token single-flight behavior in the UI</x:v>
      </x:c>
      <x:c r="G15" s="47" t="str">
        <x:v>Concurrency</x:v>
      </x:c>
      <x:c r="H15" s="53" t="str">
        <x:v>P0</x:v>
      </x:c>
      <x:c r="I15" s="53" t="str">
        <x:v>Critical</x:v>
      </x:c>
      <x:c r="J15" s="47" t="str">
        <x:v>Authenticated agency user</x:v>
      </x:c>
      <x:c r="K15" s="47" t="str">
        <x:v>Email service configured for OTP/reset verification when exercised; two active paid agencies; one inactive user; one expired-subscription agency.</x:v>
      </x:c>
      <x:c r="L15" s="47" t="str">
        <x:v>Unique owner email; strong password; valid/invalid OTPs; expired and single-use reset tokens; valid/expired access and refresh JWTs.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Email service configured for OTP/reset verification when exercised; two active paid agencies; one inactive user; one expired-subscription agency.
2. Sign in/use role: Authenticated agency user.
3. Navigate to /register, /login, /verify-login-otp, /forgot-password, /reset-password, /payment-required and capture the initial UI/API/database state.
4. Execute: Expire the access token and trigger several API calls simultaneously.
5. Inspect the network request/response against: POST /api/auth/register/; POST /api/auth/login/; POST /api/auth/verify-login-otp/; POST /api/auth/resend-login-otp/; POST /api/auth/token/refresh/; POST /api/auth/password-reset/; POST /api/auth/password-reset/confirm/.
6. Refresh/re-query the feature and related modules: Agency subscription gate, email delivery, JWT authentication, frontend Zustand token persistence and Axios refresh interceptor.
7. Verify affected models (AgencyUser, Agency, LoginOTP, PasswordResetToken) and all listed side effects.</x:v>
      </x:c>
      <x:c r="O15" s="47" t="str">
        <x:v>Axios creates one refresh request, retries queued calls with the new access token, and avoids a refresh storm.</x:v>
      </x:c>
      <x:c r="P15" s="47" t="str">
        <x:v>No business rows change.</x:v>
      </x:c>
      <x:c r="Q15" s="47" t="str">
        <x:v>One POST /api/auth/token/refresh/; retried calls use the returned Bearer token.</x:v>
      </x:c>
      <x:c r="R15" s="47" t="str">
        <x:v>The user remains on the current page without duplicate error toasts.</x:v>
      </x:c>
      <x:c r="S15" s="47" t="str">
        <x:v>Auth store tokens rotate once.</x:v>
      </x:c>
      <x:c r="T15" s="47" t="str">
        <x:v>Agency subscription gate, email delivery, JWT authentication, frontend Zustand token persistence and Axios refresh interceptor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AUTH-012</x:v>
      </x:c>
      <x:c r="B16" s="48" t="str">
        <x:v>Authentication and Access</x:v>
      </x:c>
      <x:c r="C16" s="48" t="str">
        <x:v>Authentication and Access</x:v>
      </x:c>
      <x:c r="D16" s="48" t="str">
        <x:v>Password reset account enumeration resistance</x:v>
      </x:c>
      <x:c r="E16" s="48" t="str">
        <x:v>Submit one registered and one unknown email address.</x:v>
      </x:c>
      <x:c r="F16" s="48" t="str">
        <x:v>Password reset account enumeration resistance</x:v>
      </x:c>
      <x:c r="G16" s="48" t="str">
        <x:v>Security</x:v>
      </x:c>
      <x:c r="H16" s="54" t="str">
        <x:v>P0</x:v>
      </x:c>
      <x:c r="I16" s="54" t="str">
        <x:v>Critical</x:v>
      </x:c>
      <x:c r="J16" s="48" t="str">
        <x:v>Anonymous visitor</x:v>
      </x:c>
      <x:c r="K16" s="48" t="str">
        <x:v>Email service configured for OTP/reset verification when exercised; two active paid agencies; one inactive user; one expired-subscription agency.</x:v>
      </x:c>
      <x:c r="L16" s="48" t="str">
        <x:v>Unique owner email; strong password; valid/invalid OTPs; expired and single-use reset tokens; valid/expired access and refresh JWTs.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Email service configured for OTP/reset verification when exercised; two active paid agencies; one inactive user; one expired-subscription agency.
2. Sign in/use role: Anonymous visitor.
3. Navigate to /register, /login, /verify-login-otp, /forgot-password, /reset-password, /payment-required and capture the initial UI/API/database state.
4. Execute: Submit one registered and one unknown email address.
5. Inspect the network request/response against: POST /api/auth/register/; POST /api/auth/login/; POST /api/auth/verify-login-otp/; POST /api/auth/resend-login-otp/; POST /api/auth/token/refresh/; POST /api/auth/password-reset/; POST /api/auth/password-reset/confirm/.
6. Refresh/re-query the feature and related modules: Agency subscription gate, email delivery, JWT authentication, frontend Zustand token persistence and Axios refresh interceptor.
7. Verify affected models (AgencyUser, Agency, LoginOTP, PasswordResetToken) and all listed side effects.</x:v>
      </x:c>
      <x:c r="O16" s="48" t="str">
        <x:v>Responses are indistinguishable and do not reveal whether either account exists.</x:v>
      </x:c>
      <x:c r="P16" s="48" t="str">
        <x:v>A reset token is created only for the registered account.</x:v>
      </x:c>
      <x:c r="Q16" s="48" t="str">
        <x:v>POST /api/auth/password-reset/ returns the same safe response for both inputs.</x:v>
      </x:c>
      <x:c r="R16" s="48" t="str">
        <x:v>Identical confirmation is shown.</x:v>
      </x:c>
      <x:c r="S16" s="48" t="str">
        <x:v>Mail is attempted only for the known account; mail failure is not disclosed.</x:v>
      </x:c>
      <x:c r="T16" s="48" t="str">
        <x:v>Agency subscription gate, email delivery, JWT authentication, frontend Zustand token persistence and Axios refresh interceptor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0" priority="1">
      <x:formula>H5="P0"</x:formula>
    </x:cfRule>
    <x:cfRule type="expression" dxfId="1" priority="2">
      <x:formula>H5="P1"</x:formula>
    </x:cfRule>
    <x:cfRule type="expression" dxfId="2" priority="3">
      <x:formula>H5="P2"</x:formula>
    </x:cfRule>
    <x:cfRule type="expression" dxfId="3" priority="4">
      <x:formula>H5="P3"</x:formula>
    </x:cfRule>
  </x:conditionalFormatting>
  <x:conditionalFormatting sqref="W5:W16">
    <x:cfRule type="expression" dxfId="4" priority="5">
      <x:formula>W5="Passed"</x:formula>
    </x:cfRule>
    <x:cfRule type="expression" dxfId="5" priority="6">
      <x:formula>W5="Failed"</x:formula>
    </x:cfRule>
    <x:cfRule type="expression" dxfId="6" priority="7">
      <x:formula>W5="Blocked"</x:formula>
    </x:cfRule>
    <x:cfRule type="expression" dxfId="7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507bfff5434e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Agency Profile, Website and Settings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11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AGY-001</x:v>
      </x:c>
      <x:c r="B5" s="46" t="str">
        <x:v>Agency Profile, Website and Settings</x:v>
      </x:c>
      <x:c r="C5" s="46" t="str">
        <x:v>Agency Profile, Website and Settings</x:v>
      </x:c>
      <x:c r="D5" s="46" t="str">
        <x:v>Complete the primary Agency Profile, Website and Settings workflow</x:v>
      </x:c>
      <x:c r="E5" s="46" t="str">
        <x:v>Update the agency profile and publish its public website.</x:v>
      </x:c>
      <x:c r="F5" s="46" t="str">
        <x:v>Complete the primary Agency Profile, Website and Settings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Authenticated paid agency; second agency for tenant tests; DNS/domain test data; published and unpublished website fixtures.</x:v>
      </x:c>
      <x:c r="L5" s="46" t="str">
        <x:v>Agency name/license/slug, Nepal address, phones, branding assets, custom domain, public website flag, contact message.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Authenticated paid agency; second agency for tenant tests; DNS/domain test data; published and unpublished website fixtures.
2. Sign in/use role: Agency Owner.
3. Navigate to /settings, /website-content, public /agency/:slug and capture the initial UI/API/database state.
4. Execute: Update the agency profile and publish its public website.
5. Inspect the network request/response against: GET/PATCH /api/agencies/me/; GET/PATCH /api/agencies/localization/; GET /api/public/agencies/by-slug/{slug}/; GET /api/public/agencies/by-domain/; GET /api/public/agencies/{license_number}/; POST /api/public/agencies/{license_number}/contact/.
6. Refresh/re-query the feature and related modules: Authentication, public agency resolver, storefront, localization, leads/public submissions.
7. Verify affected models (Agency, AgencyLocalizationSettings, PublicSubmission/Lead from contact capture) and all listed side effects.</x:v>
      </x:c>
      <x:c r="O5" s="46" t="str">
        <x:v>Editable profile fields persist for the current tenant and published public endpoints resolve only eligible agency data.</x:v>
      </x:c>
      <x:c r="P5" s="46" t="str">
        <x:v>Agency row and one-to-one localization settings update; public contact may create PublicSubmission/Lead/Interaction records.</x:v>
      </x:c>
      <x:c r="Q5" s="46" t="str">
        <x:v>Use the documented routes: GET/PATCH /api/agencies/me/; GET/PATCH /api/agencies/localization/; GET /api/public/agencies/by-slug/{slug}/; GET /api/public/agencies/by-domain/; GET /api/public/agencies/{license_number}/; POST /api/public/agencies/{license_number}/contact/. Successful create operations return 201, reads/updates/actions 200, and deletes 204 where provided; capture exact endpoint-specific response.</x:v>
      </x:c>
      <x:c r="R5" s="46" t="str">
        <x:v>Start at /settings, /website-content, public /agency/:slug. The visible state must match the saved API response after refresh.</x:v>
      </x:c>
      <x:c r="S5" s="46" t="str">
        <x:v>Storefront metadata/content changes; public visibility can change; audit logging is expected for operations mutations where implemented.</x:v>
      </x:c>
      <x:c r="T5" s="46" t="str">
        <x:v>Authentication, public agency resolver, storefront, localization, leads/public submissions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AGY-002</x:v>
      </x:c>
      <x:c r="B6" s="47" t="str">
        <x:v>Agency Profile, Website and Settings</x:v>
      </x:c>
      <x:c r="C6" s="47" t="str">
        <x:v>Agency Profile, Website and Settings</x:v>
      </x:c>
      <x:c r="D6" s="47" t="str">
        <x:v>Reject invalid or missing Agency Profile, Website and Settings inputs</x:v>
      </x:c>
      <x:c r="E6" s="47" t="str">
        <x:v>Reject attempts to change protected payment fields, invalid timezone/domain/address values, malformed URLs, and required-field omissions.</x:v>
      </x:c>
      <x:c r="F6" s="47" t="str">
        <x:v>Reject invalid or missing Agency Profile, Website and Settings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Authenticated paid agency; second agency for tenant tests; DNS/domain test data; published and unpublished website fixtures.</x:v>
      </x:c>
      <x:c r="L6" s="47" t="str">
        <x:v>Agency name/license/slug, Nepal address, phones, branding assets, custom domain, public website flag, contact message.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Authenticated paid agency; second agency for tenant tests; DNS/domain test data; published and unpublished website fixtures.
2. Sign in/use role: Agency Owner.
3. Navigate to /settings, /website-content, public /agency/:slug and capture the initial UI/API/database state.
4. Execute: Reject attempts to change protected payment fields, invalid timezone/domain/address values, malformed URLs, and required-field omissions.
5. Inspect the network request/response against: GET/PATCH /api/agencies/me/; GET/PATCH /api/agencies/localization/; GET /api/public/agencies/by-slug/{slug}/; GET /api/public/agencies/by-domain/; GET /api/public/agencies/{license_number}/; POST /api/public/agencies/{license_number}/contact/.
6. Refresh/re-query the feature and related modules: Authentication, public agency resolver, storefront, localization, leads/public submissions.
7. Verify affected models (Agency, AgencyLocalizationSettings, PublicSubmission/Lead from contact capture)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Authentication, public agency resolver, storefront, localization, leads/public submissions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AGY-003</x:v>
      </x:c>
      <x:c r="B7" s="47" t="str">
        <x:v>Agency Profile, Website and Settings</x:v>
      </x:c>
      <x:c r="C7" s="47" t="str">
        <x:v>Agency Profile, Website and Settings</x:v>
      </x:c>
      <x:c r="D7" s="47" t="str">
        <x:v>Enforce Agency Profile, Website and Settings role permissions</x:v>
      </x:c>
      <x:c r="E7" s="47" t="str">
        <x:v>Owners can update profile data; agents must not change agency-wide settings; public endpoints expose only public fields for active/published agencies.</x:v>
      </x:c>
      <x:c r="F7" s="47" t="str">
        <x:v>Enforce Agency Profile, Website and Settings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Authenticated paid agency; second agency for tenant tests; DNS/domain test data; published and unpublished website fixtures.</x:v>
      </x:c>
      <x:c r="L7" s="47" t="str">
        <x:v>Agency name/license/slug, Nepal address, phones, branding assets, custom domain, public website flag, contact message.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Authenticated paid agency; second agency for tenant tests; DNS/domain test data; published and unpublished website fixtures.
2. Sign in/use role: Exercise every listed role plus an unauthenticated caller.
3. Navigate to /settings, /website-content, public /agency/:slug and capture the initial UI/API/database state.
4. Execute: Owners can update profile data; agents must not change agency-wide settings; public endpoints expose only public fields for active/published agencies.
5. Inspect the network request/response against: GET/PATCH /api/agencies/me/; GET/PATCH /api/agencies/localization/; GET /api/public/agencies/by-slug/{slug}/; GET /api/public/agencies/by-domain/; GET /api/public/agencies/{license_number}/; POST /api/public/agencies/{license_number}/contact/.
6. Refresh/re-query the feature and related modules: Authentication, public agency resolver, storefront, localization, leads/public submissions.
7. Verify affected models (Agency, AgencyLocalizationSettings, PublicSubmission/Lead from contact capture)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Authentication, public agency resolver, storefront, localization, leads/public submissions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AGY-004</x:v>
      </x:c>
      <x:c r="B8" s="47" t="str">
        <x:v>Agency Profile, Website and Settings</x:v>
      </x:c>
      <x:c r="C8" s="47" t="str">
        <x:v>Agency Profile, Website and Settings</x:v>
      </x:c>
      <x:c r="D8" s="47" t="str">
        <x:v>Prevent cross-tenant access in Agency Profile, Website and Settings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Agency Profile, Website and Settings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Authenticated paid agency; second agency for tenant tests; DNS/domain test data; published and unpublished website fixtures.</x:v>
      </x:c>
      <x:c r="L8" s="47" t="str">
        <x:v>Agency name/license/slug, Nepal address, phones, branding assets, custom domain, public website flag, contact message.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Authenticated paid agency; second agency for tenant tests; DNS/domain test data; published and unpublished website fixtures.
2. Sign in/use role: Agency A authenticated user and Agency B fixture.
3. Navigate to /settings, /website-content, public /agency/:slug and capture the initial UI/API/database state.
4. Execute: Substitute Agency B object IDs, related IDs, slugs, files and filter parameters into every Agency A list/detail/create/update/delete/action request.
5. Inspect the network request/response against: GET/PATCH /api/agencies/me/; GET/PATCH /api/agencies/localization/; GET /api/public/agencies/by-slug/{slug}/; GET /api/public/agencies/by-domain/; GET /api/public/agencies/{license_number}/; POST /api/public/agencies/{license_number}/contact/.
6. Refresh/re-query the feature and related modules: Authentication, public agency resolver, storefront, localization, leads/public submissions.
7. Verify affected models (Agency, AgencyLocalizationSettings, PublicSubmission/Lead from contact capture)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Authentication, public agency resolver, storefront, localization, leads/public submissions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AGY-005</x:v>
      </x:c>
      <x:c r="B9" s="47" t="str">
        <x:v>Agency Profile, Website and Settings</x:v>
      </x:c>
      <x:c r="C9" s="47" t="str">
        <x:v>Agency Profile, Website and Settings</x:v>
      </x:c>
      <x:c r="D9" s="47" t="str">
        <x:v>Verify Agency Profile, Website and Settings list, search and filter scoping</x:v>
      </x:c>
      <x:c r="E9" s="47" t="str">
        <x:v>Resolve by slug, license number, and Host/domain query without crossing tenants.</x:v>
      </x:c>
      <x:c r="F9" s="47" t="str">
        <x:v>Verify Agency Profile, Website and Settings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Authenticated paid agency; second agency for tenant tests; DNS/domain test data; published and unpublished website fixtures.</x:v>
      </x:c>
      <x:c r="L9" s="47" t="str">
        <x:v>Agency name/license/slug, Nepal address, phones, branding assets, custom domain, public website flag, contact message.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Authenticated paid agency; second agency for tenant tests; DNS/domain test data; published and unpublished website fixtures.
2. Sign in/use role: Agency Owner.
3. Navigate to /settings, /website-content, public /agency/:slug and capture the initial UI/API/database state.
4. Execute: Resolve by slug, license number, and Host/domain query without crossing tenants.
5. Inspect the network request/response against: GET/PATCH /api/agencies/me/; GET/PATCH /api/agencies/localization/; GET /api/public/agencies/by-slug/{slug}/; GET /api/public/agencies/by-domain/; GET /api/public/agencies/{license_number}/; POST /api/public/agencies/{license_number}/contact/.
6. Refresh/re-query the feature and related modules: Authentication, public agency resolver, storefront, localization, leads/public submissions.
7. Verify affected models (Agency, AgencyLocalizationSettings, PublicSubmission/Lead from contact capture)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Authentication, public agency resolver, storefront, localization, leads/public submissions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AGY-006</x:v>
      </x:c>
      <x:c r="B10" s="47" t="str">
        <x:v>Agency Profile, Website and Settings</x:v>
      </x:c>
      <x:c r="C10" s="47" t="str">
        <x:v>Agency Profile, Website and Settings</x:v>
      </x:c>
      <x:c r="D10" s="47" t="str">
        <x:v>Test duplicate submission and idempotency for Agency Profile, Website and Settings</x:v>
      </x:c>
      <x:c r="E10" s="47" t="str">
        <x:v>Double-click/submit identical requests sequentially and concurrently. Current rule: Unique slug/license/domain constraints prevent conflicting agency identities; repeated contact submission behavior follows public lead deduplication.</x:v>
      </x:c>
      <x:c r="F10" s="47" t="str">
        <x:v>Test duplicate submission and idempotency for Agency Profile, Website and Settings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Authenticated paid agency; second agency for tenant tests; DNS/domain test data; published and unpublished website fixtures.</x:v>
      </x:c>
      <x:c r="L10" s="47" t="str">
        <x:v>Agency name/license/slug, Nepal address, phones, branding assets, custom domain, public website flag, contact message.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Authenticated paid agency; second agency for tenant tests; DNS/domain test data; published and unpublished website fixtures.
2. Sign in/use role: Agency Owner.
3. Navigate to /settings, /website-content, public /agency/:slug and capture the initial UI/API/database state.
4. Execute: Double-click/submit identical requests sequentially and concurrently. Current rule: Unique slug/license/domain constraints prevent conflicting agency identities; repeated contact submission behavior follows public lead deduplication.
5. Inspect the network request/response against: GET/PATCH /api/agencies/me/; GET/PATCH /api/agencies/localization/; GET /api/public/agencies/by-slug/{slug}/; GET /api/public/agencies/by-domain/; GET /api/public/agencies/{license_number}/; POST /api/public/agencies/{license_number}/contact/.
6. Refresh/re-query the feature and related modules: Authentication, public agency resolver, storefront, localization, leads/public submissions.
7. Verify affected models (Agency, AgencyLocalizationSettings, PublicSubmission/Lead from contact capture)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Authentication, public agency resolver, storefront, localization, leads/public submissions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AGY-007</x:v>
      </x:c>
      <x:c r="B11" s="47" t="str">
        <x:v>Agency Profile, Website and Settings</x:v>
      </x:c>
      <x:c r="C11" s="47" t="str">
        <x:v>Agency Profile, Website and Settings</x:v>
      </x:c>
      <x:c r="D11" s="47" t="str">
        <x:v>Verify deletion and dependency behavior for Agency Profile, Website and Settings</x:v>
      </x:c>
      <x:c r="E11" s="47" t="str">
        <x:v>Delete an unreferenced record, a referenced record, a foreign-tenant record, and an already-deleted ID. Current rule: No public hard-delete endpoint exists. Platform suspension is handled by Super Admin and must make the agency disappear publicly.</x:v>
      </x:c>
      <x:c r="F11" s="47" t="str">
        <x:v>Verify deletion and dependency behavior for Agency Profile, Website and Settings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Authenticated paid agency; second agency for tenant tests; DNS/domain test data; published and unpublished website fixtures.</x:v>
      </x:c>
      <x:c r="L11" s="47" t="str">
        <x:v>Agency name/license/slug, Nepal address, phones, branding assets, custom domain, public website flag, contact message.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Authenticated paid agency; second agency for tenant tests; DNS/domain test data; published and unpublished website fixtures.
2. Sign in/use role: Agency Owner or Agency Manager.
3. Navigate to /settings, /website-content, public /agency/:slug and capture the initial UI/API/database state.
4. Execute: Delete an unreferenced record, a referenced record, a foreign-tenant record, and an already-deleted ID. Current rule: No public hard-delete endpoint exists. Platform suspension is handled by Super Admin and must make the agency disappear publicly.
5. Inspect the network request/response against: GET/PATCH /api/agencies/me/; GET/PATCH /api/agencies/localization/; GET /api/public/agencies/by-slug/{slug}/; GET /api/public/agencies/by-domain/; GET /api/public/agencies/{license_number}/; POST /api/public/agencies/{license_number}/contact/.
6. Refresh/re-query the feature and related modules: Authentication, public agency resolver, storefront, localization, leads/public submissions.
7. Verify affected models (Agency, AgencyLocalizationSettings, PublicSubmission/Lead from contact capture)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Authentication, public agency resolver, storefront, localization, leads/public submissions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AGY-008</x:v>
      </x:c>
      <x:c r="B12" s="47" t="str">
        <x:v>Agency Profile, Website and Settings</x:v>
      </x:c>
      <x:c r="C12" s="47" t="str">
        <x:v>Agency Profile, Website and Settings</x:v>
      </x:c>
      <x:c r="D12" s="47" t="str">
        <x:v>Recover cleanly from API/network failure during Agency Profile, Website and Settings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Agency Profile, Website and Settings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Authenticated paid agency; second agency for tenant tests; DNS/domain test data; published and unpublished website fixtures.</x:v>
      </x:c>
      <x:c r="L12" s="47" t="str">
        <x:v>Agency name/license/slug, Nepal address, phones, branding assets, custom domain, public website flag, contact message.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Authenticated paid agency; second agency for tenant tests; DNS/domain test data; published and unpublished website fixtures.
2. Sign in/use role: Agency Owner.
3. Navigate to /settings, /website-content, public /agency/:slug and capture the initial UI/API/database state.
4. Execute: Simulate timeout, offline browser, 500 response, expired access token and failed refresh while submitting the primary workflow.
5. Inspect the network request/response against: GET/PATCH /api/agencies/me/; GET/PATCH /api/agencies/localization/; GET /api/public/agencies/by-slug/{slug}/; GET /api/public/agencies/by-domain/; GET /api/public/agencies/{license_number}/; POST /api/public/agencies/{license_number}/contact/.
6. Refresh/re-query the feature and related modules: Authentication, public agency resolver, storefront, localization, leads/public submissions.
7. Verify affected models (Agency, AgencyLocalizationSettings, PublicSubmission/Lead from contact capture)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Authentication, public agency resolver, storefront, localization, leads/public submissions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AGY-009</x:v>
      </x:c>
      <x:c r="B13" s="47" t="str">
        <x:v>Agency Profile, Website and Settings</x:v>
      </x:c>
      <x:c r="C13" s="47" t="str">
        <x:v>Agency Profile, Website and Settings</x:v>
      </x:c>
      <x:c r="D13" s="47" t="str">
        <x:v>Protected payment fields cannot be patched by an owner</x:v>
      </x:c>
      <x:c r="E13" s="47" t="str">
        <x:v>PATCH /api/agencies/me/ with payment_status or paid_at.</x:v>
      </x:c>
      <x:c r="F13" s="47" t="str">
        <x:v>Protected payment fields cannot be patched by an owner</x:v>
      </x:c>
      <x:c r="G13" s="47" t="str">
        <x:v>Permission</x:v>
      </x:c>
      <x:c r="H13" s="53" t="str">
        <x:v>P0</x:v>
      </x:c>
      <x:c r="I13" s="53" t="str">
        <x:v>Critical</x:v>
      </x:c>
      <x:c r="J13" s="47" t="str">
        <x:v>Agency Owner</x:v>
      </x:c>
      <x:c r="K13" s="47" t="str">
        <x:v>Authenticated paid agency; second agency for tenant tests; DNS/domain test data; published and unpublished website fixtures.</x:v>
      </x:c>
      <x:c r="L13" s="47" t="str">
        <x:v>Agency name/license/slug, Nepal address, phones, branding assets, custom domain, public website flag, contact message.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Authenticated paid agency; second agency for tenant tests; DNS/domain test data; published and unpublished website fixtures.
2. Sign in/use role: Agency Owner.
3. Navigate to /settings, /website-content, public /agency/:slug and capture the initial UI/API/database state.
4. Execute: PATCH /api/agencies/me/ with payment_status or paid_at.
5. Inspect the network request/response against: GET/PATCH /api/agencies/me/; GET/PATCH /api/agencies/localization/; GET /api/public/agencies/by-slug/{slug}/; GET /api/public/agencies/by-domain/; GET /api/public/agencies/{license_number}/; POST /api/public/agencies/{license_number}/contact/.
6. Refresh/re-query the feature and related modules: Authentication, public agency resolver, storefront, localization, leads/public submissions.
7. Verify affected models (Agency, AgencyLocalizationSettings, PublicSubmission/Lead from contact capture) and all listed side effects.</x:v>
      </x:c>
      <x:c r="O13" s="47" t="str">
        <x:v>The protected fields remain unchanged even if other allowed profile fields update.</x:v>
      </x:c>
      <x:c r="P13" s="47" t="str">
        <x:v>Agency payment_status and paid_at are unchanged.</x:v>
      </x:c>
      <x:c r="Q13" s="47" t="str">
        <x:v>Response omits or ignores/rejects protected updates according to serializer behavior.</x:v>
      </x:c>
      <x:c r="R13" s="47" t="str">
        <x:v>Settings never presents payment status as an editable profile field.</x:v>
      </x:c>
      <x:c r="S13" s="47" t="str">
        <x:v>Subscription entitlement remains unchanged.</x:v>
      </x:c>
      <x:c r="T13" s="47" t="str">
        <x:v>Authentication, public agency resolver, storefront, localization, leads/public submissions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AGY-010</x:v>
      </x:c>
      <x:c r="B14" s="47" t="str">
        <x:v>Agency Profile, Website and Settings</x:v>
      </x:c>
      <x:c r="C14" s="47" t="str">
        <x:v>Agency Profile, Website and Settings</x:v>
      </x:c>
      <x:c r="D14" s="47" t="str">
        <x:v>Unpublished website is unavailable publicly</x:v>
      </x:c>
      <x:c r="E14" s="47" t="str">
        <x:v>Turn off website publication, then resolve the agency by slug and domain.</x:v>
      </x:c>
      <x:c r="F14" s="47" t="str">
        <x:v>Unpublished website is unavailable publicly</x:v>
      </x:c>
      <x:c r="G14" s="47" t="str">
        <x:v>Security</x:v>
      </x:c>
      <x:c r="H14" s="53" t="str">
        <x:v>P0</x:v>
      </x:c>
      <x:c r="I14" s="53" t="str">
        <x:v>Critical</x:v>
      </x:c>
      <x:c r="J14" s="47" t="str">
        <x:v>Public visitor</x:v>
      </x:c>
      <x:c r="K14" s="47" t="str">
        <x:v>Authenticated paid agency; second agency for tenant tests; DNS/domain test data; published and unpublished website fixtures.</x:v>
      </x:c>
      <x:c r="L14" s="47" t="str">
        <x:v>Agency name/license/slug, Nepal address, phones, branding assets, custom domain, public website flag, contact message.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Authenticated paid agency; second agency for tenant tests; DNS/domain test data; published and unpublished website fixtures.
2. Sign in/use role: Public visitor.
3. Navigate to /settings, /website-content, public /agency/:slug and capture the initial UI/API/database state.
4. Execute: Turn off website publication, then resolve the agency by slug and domain.
5. Inspect the network request/response against: GET/PATCH /api/agencies/me/; GET/PATCH /api/agencies/localization/; GET /api/public/agencies/by-slug/{slug}/; GET /api/public/agencies/by-domain/; GET /api/public/agencies/{license_number}/; POST /api/public/agencies/{license_number}/contact/.
6. Refresh/re-query the feature and related modules: Authentication, public agency resolver, storefront, localization, leads/public submissions.
7. Verify affected models (Agency, AgencyLocalizationSettings, PublicSubmission/Lead from contact capture) and all listed side effects.</x:v>
      </x:c>
      <x:c r="O14" s="47" t="str">
        <x:v>Public resolution and customer registration are rejected/not found for the unpublished site.</x:v>
      </x:c>
      <x:c r="P14" s="47" t="str">
        <x:v>No public/customer rows are created.</x:v>
      </x:c>
      <x:c r="Q14" s="47" t="str">
        <x:v>Public resolver returns the implementation's not-found response; protected customer registration is rejected.</x:v>
      </x:c>
      <x:c r="R14" s="47" t="str">
        <x:v>Storefront shows not found/unavailable rather than stale tenant content.</x:v>
      </x:c>
      <x:c r="S14" s="47" t="str">
        <x:v>Search engine metadata must not expose unpublished content.</x:v>
      </x:c>
      <x:c r="T14" s="47" t="str">
        <x:v>Authentication, public agency resolver, storefront, localization, leads/public submissions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1" t="str">
        <x:v>AGY-011</x:v>
      </x:c>
      <x:c r="B15" s="48" t="str">
        <x:v>Agency Profile, Website and Settings</x:v>
      </x:c>
      <x:c r="C15" s="48" t="str">
        <x:v>Agency Profile, Website and Settings</x:v>
      </x:c>
      <x:c r="D15" s="48" t="str">
        <x:v>Custom domain resolves the correct agency</x:v>
      </x:c>
      <x:c r="E15" s="48" t="str">
        <x:v>Call by-domain resolution with Agency A and Agency B Host values.</x:v>
      </x:c>
      <x:c r="F15" s="48" t="str">
        <x:v>Custom domain resolves the correct agency</x:v>
      </x:c>
      <x:c r="G15" s="48" t="str">
        <x:v>Integration</x:v>
      </x:c>
      <x:c r="H15" s="54" t="str">
        <x:v>P1</x:v>
      </x:c>
      <x:c r="I15" s="54" t="str">
        <x:v>High</x:v>
      </x:c>
      <x:c r="J15" s="48" t="str">
        <x:v>Public visitor</x:v>
      </x:c>
      <x:c r="K15" s="48" t="str">
        <x:v>Authenticated paid agency; second agency for tenant tests; DNS/domain test data; published and unpublished website fixtures.</x:v>
      </x:c>
      <x:c r="L15" s="48" t="str">
        <x:v>Agency name/license/slug, Nepal address, phones, branding assets, custom domain, public website flag, contact message.</x:v>
      </x:c>
      <x:c r="M15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8" t="str">
        <x:v>1. Prepare: Authenticated paid agency; second agency for tenant tests; DNS/domain test data; published and unpublished website fixtures.
2. Sign in/use role: Public visitor.
3. Navigate to /settings, /website-content, public /agency/:slug and capture the initial UI/API/database state.
4. Execute: Call by-domain resolution with Agency A and Agency B Host values.
5. Inspect the network request/response against: GET/PATCH /api/agencies/me/; GET/PATCH /api/agencies/localization/; GET /api/public/agencies/by-slug/{slug}/; GET /api/public/agencies/by-domain/; GET /api/public/agencies/{license_number}/; POST /api/public/agencies/{license_number}/contact/.
6. Refresh/re-query the feature and related modules: Authentication, public agency resolver, storefront, localization, leads/public submissions.
7. Verify affected models (Agency, AgencyLocalizationSettings, PublicSubmission/Lead from contact capture) and all listed side effects.</x:v>
      </x:c>
      <x:c r="O15" s="48" t="str">
        <x:v>Each domain returns only its configured active, published agency.</x:v>
      </x:c>
      <x:c r="P15" s="48" t="str">
        <x:v>No rows change.</x:v>
      </x:c>
      <x:c r="Q15" s="48" t="str">
        <x:v>GET /api/public/agencies/by-domain/ returns 200 for the matching domain and 404 for unknown/unpublished domains.</x:v>
      </x:c>
      <x:c r="R15" s="48" t="str">
        <x:v>Tenant branding changes with the resolved agency.</x:v>
      </x:c>
      <x:c r="S15" s="48" t="str">
        <x:v>Subsequent property and agent calls use that agency identity.</x:v>
      </x:c>
      <x:c r="T15" s="48" t="str">
        <x:v>Authentication, public agency resolver, storefront, localization, leads/public submissions</x:v>
      </x:c>
      <x:c r="U15" s="48" t="str">
        <x:v>Restore mutated fixture state where required; retain evidence (request/response, screenshots, SQL counts and logs).</x:v>
      </x:c>
      <x:c r="V15" s="48" t="str"/>
      <x:c r="W15" s="54" t="str">
        <x:v>Not Run</x:v>
      </x:c>
      <x:c r="X15" s="54" t="str"/>
      <x:c r="Y15" s="54" t="str">
        <x:v>Yes</x:v>
      </x:c>
      <x:c r="Z15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5">
    <x:cfRule type="expression" dxfId="8" priority="1">
      <x:formula>H5="P0"</x:formula>
    </x:cfRule>
    <x:cfRule type="expression" dxfId="9" priority="2">
      <x:formula>H5="P1"</x:formula>
    </x:cfRule>
    <x:cfRule type="expression" dxfId="10" priority="3">
      <x:formula>H5="P2"</x:formula>
    </x:cfRule>
    <x:cfRule type="expression" dxfId="11" priority="4">
      <x:formula>H5="P3"</x:formula>
    </x:cfRule>
  </x:conditionalFormatting>
  <x:conditionalFormatting sqref="W5:W15">
    <x:cfRule type="expression" dxfId="12" priority="5">
      <x:formula>W5="Passed"</x:formula>
    </x:cfRule>
    <x:cfRule type="expression" dxfId="13" priority="6">
      <x:formula>W5="Failed"</x:formula>
    </x:cfRule>
    <x:cfRule type="expression" dxfId="14" priority="7">
      <x:formula>W5="Blocked"</x:formula>
    </x:cfRule>
    <x:cfRule type="expression" dxfId="15" priority="8">
      <x:formula>W5="Skipped"</x:formula>
    </x:cfRule>
  </x:conditionalFormatting>
  <x:dataValidations count="4">
    <x:dataValidation type="list" sqref="H5:H15">
      <x:formula1>"P0,P1,P2,P3"</x:formula1>
    </x:dataValidation>
    <x:dataValidation type="list" sqref="I5:I15">
      <x:formula1>"Critical,High,Medium,Low"</x:formula1>
    </x:dataValidation>
    <x:dataValidation type="list" sqref="W5:W15">
      <x:formula1>"Not Run,Passed,Failed,Blocked,Skipped"</x:formula1>
    </x:dataValidation>
    <x:dataValidation type="list" sqref="Y5:Y15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31dd3136d544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Team, Invitations and Agent Profiles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11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TEAM-001</x:v>
      </x:c>
      <x:c r="B5" s="46" t="str">
        <x:v>Team, Invitations and Agent Profiles</x:v>
      </x:c>
      <x:c r="C5" s="46" t="str">
        <x:v>Team, Invitations and Agent Profiles</x:v>
      </x:c>
      <x:c r="D5" s="46" t="str">
        <x:v>Complete the primary Team, Invitations and Agent Profiles workflow</x:v>
      </x:c>
      <x:c r="E5" s="46" t="str">
        <x:v>Invite an agent, accept the invitation, and complete the agent's profile.</x:v>
      </x:c>
      <x:c r="F5" s="46" t="str">
        <x:v>Complete the primary Team, Invitations and Agent Profiles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Paid Agency A and B; owner, manager, two agents; SMTP capture; active, expired, and accepted invitation tokens.</x:v>
      </x:c>
      <x:c r="L5" s="46" t="str">
        <x:v>Unique invite email, roles agency_manager/agent, profile biography/license/languages, active/inactive states.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Paid Agency A and B; owner, manager, two agents; SMTP capture; active, expired, and accepted invitation tokens.
2. Sign in/use role: Agency Owner.
3. Navigate to /team, /agents, /my-profile, /accept-invitation, public agent pages and capture the initial UI/API/database state.
4. Execute: Invite an agent, accept the invitation, and complete the agent's profile.
5. Inspect the network request/response against: GET/POST /api/agents/; GET/PATCH/DELETE /api/agents/{id}/; GET/PATCH /api/agents/me/profile/; /api/operations/invitations/; POST /api/operations/invitation/accept/; /api/operations/team-members/; GET /api/public/agencies/{license}/agents/.
6. Refresh/re-query the feature and related modules: Authentication, email, public storefront, property assignment, leads, audit log.
7. Verify affected models (AgencyUser, AgentProfile, Invitation, Notification, AuditLog) and all listed side effects.</x:v>
      </x:c>
      <x:c r="O5" s="46" t="str">
        <x:v>One agency-scoped user is created with the invited role, invitation becomes accepted, and the active agent can update only their own profile.</x:v>
      </x:c>
      <x:c r="P5" s="46" t="str">
        <x:v>Invitation created then accepted_at set; AgencyUser/AgentProfile created; access changes update AgencyUser and AuditLog.</x:v>
      </x:c>
      <x:c r="Q5" s="46" t="str">
        <x:v>Use the documented routes: GET/POST /api/agents/; GET/PATCH/DELETE /api/agents/{id}/; GET/PATCH /api/agents/me/profile/; /api/operations/invitations/; POST /api/operations/invitation/accept/; /api/operations/team-members/; GET /api/public/agencies/{license}/agents/. Successful create operations return 201, reads/updates/actions 200, and deletes 204 where provided; capture exact endpoint-specific response.</x:v>
      </x:c>
      <x:c r="R5" s="46" t="str">
        <x:v>Start at /team, /agents, /my-profile, /accept-invitation, public agent pages. The visible state must match the saved API response after refresh.</x:v>
      </x:c>
      <x:c r="S5" s="46" t="str">
        <x:v>Invite email; public agent visibility; assigned records remain linked but inactive agent access ends.</x:v>
      </x:c>
      <x:c r="T5" s="46" t="str">
        <x:v>Authentication, email, public storefront, property assignment, leads, audit log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TEAM-002</x:v>
      </x:c>
      <x:c r="B6" s="47" t="str">
        <x:v>Team, Invitations and Agent Profiles</x:v>
      </x:c>
      <x:c r="C6" s="47" t="str">
        <x:v>Team, Invitations and Agent Profiles</x:v>
      </x:c>
      <x:c r="D6" s="47" t="str">
        <x:v>Reject invalid or missing Team, Invitations and Agent Profiles inputs</x:v>
      </x:c>
      <x:c r="E6" s="47" t="str">
        <x:v>Reject expired/reused tokens, duplicate email conflicts, invalid profile values, role injection, and cross-agency assignments.</x:v>
      </x:c>
      <x:c r="F6" s="47" t="str">
        <x:v>Reject invalid or missing Team, Invitations and Agent Profiles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Paid Agency A and B; owner, manager, two agents; SMTP capture; active, expired, and accepted invitation tokens.</x:v>
      </x:c>
      <x:c r="L6" s="47" t="str">
        <x:v>Unique invite email, roles agency_manager/agent, profile biography/license/languages, active/inactive states.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Paid Agency A and B; owner, manager, two agents; SMTP capture; active, expired, and accepted invitation tokens.
2. Sign in/use role: Agency Owner.
3. Navigate to /team, /agents, /my-profile, /accept-invitation, public agent pages and capture the initial UI/API/database state.
4. Execute: Reject expired/reused tokens, duplicate email conflicts, invalid profile values, role injection, and cross-agency assignments.
5. Inspect the network request/response against: GET/POST /api/agents/; GET/PATCH/DELETE /api/agents/{id}/; GET/PATCH /api/agents/me/profile/; /api/operations/invitations/; POST /api/operations/invitation/accept/; /api/operations/team-members/; GET /api/public/agencies/{license}/agents/.
6. Refresh/re-query the feature and related modules: Authentication, email, public storefront, property assignment, leads, audit log.
7. Verify affected models (AgencyUser, AgentProfile, Invitation, Notification, AuditLog)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Authentication, email, public storefront, property assignment, leads, audit log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TEAM-003</x:v>
      </x:c>
      <x:c r="B7" s="47" t="str">
        <x:v>Team, Invitations and Agent Profiles</x:v>
      </x:c>
      <x:c r="C7" s="47" t="str">
        <x:v>Team, Invitations and Agent Profiles</x:v>
      </x:c>
      <x:c r="D7" s="47" t="str">
        <x:v>Enforce Team, Invitations and Agent Profiles role permissions</x:v>
      </x:c>
      <x:c r="E7" s="47" t="str">
        <x:v>Only owner/manager manages invitations/team access; agent self-profile endpoint is agent-only; owner cannot change another user's role through the legacy agent PATCH; public hides inactive agents.</x:v>
      </x:c>
      <x:c r="F7" s="47" t="str">
        <x:v>Enforce Team, Invitations and Agent Profiles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Paid Agency A and B; owner, manager, two agents; SMTP capture; active, expired, and accepted invitation tokens.</x:v>
      </x:c>
      <x:c r="L7" s="47" t="str">
        <x:v>Unique invite email, roles agency_manager/agent, profile biography/license/languages, active/inactive states.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Paid Agency A and B; owner, manager, two agents; SMTP capture; active, expired, and accepted invitation tokens.
2. Sign in/use role: Exercise every listed role plus an unauthenticated caller.
3. Navigate to /team, /agents, /my-profile, /accept-invitation, public agent pages and capture the initial UI/API/database state.
4. Execute: Only owner/manager manages invitations/team access; agent self-profile endpoint is agent-only; owner cannot change another user's role through the legacy agent PATCH; public hides inactive agents.
5. Inspect the network request/response against: GET/POST /api/agents/; GET/PATCH/DELETE /api/agents/{id}/; GET/PATCH /api/agents/me/profile/; /api/operations/invitations/; POST /api/operations/invitation/accept/; /api/operations/team-members/; GET /api/public/agencies/{license}/agents/.
6. Refresh/re-query the feature and related modules: Authentication, email, public storefront, property assignment, leads, audit log.
7. Verify affected models (AgencyUser, AgentProfile, Invitation, Notification, AuditLog)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Authentication, email, public storefront, property assignment, leads, audit log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TEAM-004</x:v>
      </x:c>
      <x:c r="B8" s="47" t="str">
        <x:v>Team, Invitations and Agent Profiles</x:v>
      </x:c>
      <x:c r="C8" s="47" t="str">
        <x:v>Team, Invitations and Agent Profiles</x:v>
      </x:c>
      <x:c r="D8" s="47" t="str">
        <x:v>Prevent cross-tenant access in Team, Invitations and Agent Profiles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Team, Invitations and Agent Profiles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Paid Agency A and B; owner, manager, two agents; SMTP capture; active, expired, and accepted invitation tokens.</x:v>
      </x:c>
      <x:c r="L8" s="47" t="str">
        <x:v>Unique invite email, roles agency_manager/agent, profile biography/license/languages, active/inactive states.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Paid Agency A and B; owner, manager, two agents; SMTP capture; active, expired, and accepted invitation tokens.
2. Sign in/use role: Agency A authenticated user and Agency B fixture.
3. Navigate to /team, /agents, /my-profile, /accept-invitation, public agent pages and capture the initial UI/API/database state.
4. Execute: Substitute Agency B object IDs, related IDs, slugs, files and filter parameters into every Agency A list/detail/create/update/delete/action request.
5. Inspect the network request/response against: GET/POST /api/agents/; GET/PATCH/DELETE /api/agents/{id}/; GET/PATCH /api/agents/me/profile/; /api/operations/invitations/; POST /api/operations/invitation/accept/; /api/operations/team-members/; GET /api/public/agencies/{license}/agents/.
6. Refresh/re-query the feature and related modules: Authentication, email, public storefront, property assignment, leads, audit log.
7. Verify affected models (AgencyUser, AgentProfile, Invitation, Notification, AuditLog)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Authentication, email, public storefront, property assignment, leads, audit log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TEAM-005</x:v>
      </x:c>
      <x:c r="B9" s="47" t="str">
        <x:v>Team, Invitations and Agent Profiles</x:v>
      </x:c>
      <x:c r="C9" s="47" t="str">
        <x:v>Team, Invitations and Agent Profiles</x:v>
      </x:c>
      <x:c r="D9" s="47" t="str">
        <x:v>Verify Team, Invitations and Agent Profiles list, search and filter scoping</x:v>
      </x:c>
      <x:c r="E9" s="47" t="str">
        <x:v>Team and public agent lists are tenant-scoped; agents see/update only their own profile.</x:v>
      </x:c>
      <x:c r="F9" s="47" t="str">
        <x:v>Verify Team, Invitations and Agent Profiles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Paid Agency A and B; owner, manager, two agents; SMTP capture; active, expired, and accepted invitation tokens.</x:v>
      </x:c>
      <x:c r="L9" s="47" t="str">
        <x:v>Unique invite email, roles agency_manager/agent, profile biography/license/languages, active/inactive states.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Paid Agency A and B; owner, manager, two agents; SMTP capture; active, expired, and accepted invitation tokens.
2. Sign in/use role: Agency Owner.
3. Navigate to /team, /agents, /my-profile, /accept-invitation, public agent pages and capture the initial UI/API/database state.
4. Execute: Team and public agent lists are tenant-scoped; agents see/update only their own profile.
5. Inspect the network request/response against: GET/POST /api/agents/; GET/PATCH/DELETE /api/agents/{id}/; GET/PATCH /api/agents/me/profile/; /api/operations/invitations/; POST /api/operations/invitation/accept/; /api/operations/team-members/; GET /api/public/agencies/{license}/agents/.
6. Refresh/re-query the feature and related modules: Authentication, email, public storefront, property assignment, leads, audit log.
7. Verify affected models (AgencyUser, AgentProfile, Invitation, Notification, AuditLog)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Authentication, email, public storefront, property assignment, leads, audit log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TEAM-006</x:v>
      </x:c>
      <x:c r="B10" s="47" t="str">
        <x:v>Team, Invitations and Agent Profiles</x:v>
      </x:c>
      <x:c r="C10" s="47" t="str">
        <x:v>Team, Invitations and Agent Profiles</x:v>
      </x:c>
      <x:c r="D10" s="47" t="str">
        <x:v>Test duplicate submission and idempotency for Team, Invitations and Agent Profiles</x:v>
      </x:c>
      <x:c r="E10" s="47" t="str">
        <x:v>Double-click/submit identical requests sequentially and concurrently. Current rule: Double acceptance must not create two users; invitation email failure records delivery_error without losing the invitation.</x:v>
      </x:c>
      <x:c r="F10" s="47" t="str">
        <x:v>Test duplicate submission and idempotency for Team, Invitations and Agent Profiles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Paid Agency A and B; owner, manager, two agents; SMTP capture; active, expired, and accepted invitation tokens.</x:v>
      </x:c>
      <x:c r="L10" s="47" t="str">
        <x:v>Unique invite email, roles agency_manager/agent, profile biography/license/languages, active/inactive states.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Paid Agency A and B; owner, manager, two agents; SMTP capture; active, expired, and accepted invitation tokens.
2. Sign in/use role: Agency Owner.
3. Navigate to /team, /agents, /my-profile, /accept-invitation, public agent pages and capture the initial UI/API/database state.
4. Execute: Double-click/submit identical requests sequentially and concurrently. Current rule: Double acceptance must not create two users; invitation email failure records delivery_error without losing the invitation.
5. Inspect the network request/response against: GET/POST /api/agents/; GET/PATCH/DELETE /api/agents/{id}/; GET/PATCH /api/agents/me/profile/; /api/operations/invitations/; POST /api/operations/invitation/accept/; /api/operations/team-members/; GET /api/public/agencies/{license}/agents/.
6. Refresh/re-query the feature and related modules: Authentication, email, public storefront, property assignment, leads, audit log.
7. Verify affected models (AgencyUser, AgentProfile, Invitation, Notification, AuditLog)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Authentication, email, public storefront, property assignment, leads, audit log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TEAM-007</x:v>
      </x:c>
      <x:c r="B11" s="47" t="str">
        <x:v>Team, Invitations and Agent Profiles</x:v>
      </x:c>
      <x:c r="C11" s="47" t="str">
        <x:v>Team, Invitations and Agent Profiles</x:v>
      </x:c>
      <x:c r="D11" s="47" t="str">
        <x:v>Verify deletion and dependency behavior for Team, Invitations and Agent Profiles</x:v>
      </x:c>
      <x:c r="E11" s="47" t="str">
        <x:v>Delete an unreferenced record, a referenced record, a foreign-tenant record, and an already-deleted ID. Current rule: Agent delete is soft deactivation in the agent endpoint; team rules preserve at least one active owner and prevent self-deactivation/role change.</x:v>
      </x:c>
      <x:c r="F11" s="47" t="str">
        <x:v>Verify deletion and dependency behavior for Team, Invitations and Agent Profiles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Paid Agency A and B; owner, manager, two agents; SMTP capture; active, expired, and accepted invitation tokens.</x:v>
      </x:c>
      <x:c r="L11" s="47" t="str">
        <x:v>Unique invite email, roles agency_manager/agent, profile biography/license/languages, active/inactive states.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Paid Agency A and B; owner, manager, two agents; SMTP capture; active, expired, and accepted invitation tokens.
2. Sign in/use role: Agency Owner or Agency Manager.
3. Navigate to /team, /agents, /my-profile, /accept-invitation, public agent pages and capture the initial UI/API/database state.
4. Execute: Delete an unreferenced record, a referenced record, a foreign-tenant record, and an already-deleted ID. Current rule: Agent delete is soft deactivation in the agent endpoint; team rules preserve at least one active owner and prevent self-deactivation/role change.
5. Inspect the network request/response against: GET/POST /api/agents/; GET/PATCH/DELETE /api/agents/{id}/; GET/PATCH /api/agents/me/profile/; /api/operations/invitations/; POST /api/operations/invitation/accept/; /api/operations/team-members/; GET /api/public/agencies/{license}/agents/.
6. Refresh/re-query the feature and related modules: Authentication, email, public storefront, property assignment, leads, audit log.
7. Verify affected models (AgencyUser, AgentProfile, Invitation, Notification, AuditLog)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Authentication, email, public storefront, property assignment, leads, audit log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TEAM-008</x:v>
      </x:c>
      <x:c r="B12" s="47" t="str">
        <x:v>Team, Invitations and Agent Profiles</x:v>
      </x:c>
      <x:c r="C12" s="47" t="str">
        <x:v>Team, Invitations and Agent Profiles</x:v>
      </x:c>
      <x:c r="D12" s="47" t="str">
        <x:v>Recover cleanly from API/network failure during Team, Invitations and Agent Profiles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Team, Invitations and Agent Profiles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Paid Agency A and B; owner, manager, two agents; SMTP capture; active, expired, and accepted invitation tokens.</x:v>
      </x:c>
      <x:c r="L12" s="47" t="str">
        <x:v>Unique invite email, roles agency_manager/agent, profile biography/license/languages, active/inactive states.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Paid Agency A and B; owner, manager, two agents; SMTP capture; active, expired, and accepted invitation tokens.
2. Sign in/use role: Agency Owner.
3. Navigate to /team, /agents, /my-profile, /accept-invitation, public agent pages and capture the initial UI/API/database state.
4. Execute: Simulate timeout, offline browser, 500 response, expired access token and failed refresh while submitting the primary workflow.
5. Inspect the network request/response against: GET/POST /api/agents/; GET/PATCH/DELETE /api/agents/{id}/; GET/PATCH /api/agents/me/profile/; /api/operations/invitations/; POST /api/operations/invitation/accept/; /api/operations/team-members/; GET /api/public/agencies/{license}/agents/.
6. Refresh/re-query the feature and related modules: Authentication, email, public storefront, property assignment, leads, audit log.
7. Verify affected models (AgencyUser, AgentProfile, Invitation, Notification, AuditLog)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Authentication, email, public storefront, property assignment, leads, audit log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TEAM-009</x:v>
      </x:c>
      <x:c r="B13" s="47" t="str">
        <x:v>Team, Invitations and Agent Profiles</x:v>
      </x:c>
      <x:c r="C13" s="47" t="str">
        <x:v>Team, Invitations and Agent Profiles</x:v>
      </x:c>
      <x:c r="D13" s="47" t="str">
        <x:v>Agency must retain one active owner</x:v>
      </x:c>
      <x:c r="E13" s="47" t="str">
        <x:v>Attempt to deactivate or demote the only active owner through team-members.</x:v>
      </x:c>
      <x:c r="F13" s="47" t="str">
        <x:v>Agency must retain one active owner</x:v>
      </x:c>
      <x:c r="G13" s="47" t="str">
        <x:v>Validation</x:v>
      </x:c>
      <x:c r="H13" s="53" t="str">
        <x:v>P0</x:v>
      </x:c>
      <x:c r="I13" s="53" t="str">
        <x:v>Critical</x:v>
      </x:c>
      <x:c r="J13" s="47" t="str">
        <x:v>Agency Owner</x:v>
      </x:c>
      <x:c r="K13" s="47" t="str">
        <x:v>Paid Agency A and B; owner, manager, two agents; SMTP capture; active, expired, and accepted invitation tokens.</x:v>
      </x:c>
      <x:c r="L13" s="47" t="str">
        <x:v>Unique invite email, roles agency_manager/agent, profile biography/license/languages, active/inactive states.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Paid Agency A and B; owner, manager, two agents; SMTP capture; active, expired, and accepted invitation tokens.
2. Sign in/use role: Agency Owner.
3. Navigate to /team, /agents, /my-profile, /accept-invitation, public agent pages and capture the initial UI/API/database state.
4. Execute: Attempt to deactivate or demote the only active owner through team-members.
5. Inspect the network request/response against: GET/POST /api/agents/; GET/PATCH/DELETE /api/agents/{id}/; GET/PATCH /api/agents/me/profile/; /api/operations/invitations/; POST /api/operations/invitation/accept/; /api/operations/team-members/; GET /api/public/agencies/{license}/agents/.
6. Refresh/re-query the feature and related modules: Authentication, email, public storefront, property assignment, leads, audit log.
7. Verify affected models (AgencyUser, AgentProfile, Invitation, Notification, AuditLog) and all listed side effects.</x:v>
      </x:c>
      <x:c r="O13" s="47" t="str">
        <x:v>Request is rejected with the explicit retention rule.</x:v>
      </x:c>
      <x:c r="P13" s="47" t="str">
        <x:v>Owner role/is_active is unchanged; audit log is not created for a failed update.</x:v>
      </x:c>
      <x:c r="Q13" s="47" t="str">
        <x:v>PATCH /api/operations/team-members/{id}/ returns 400.</x:v>
      </x:c>
      <x:c r="R13" s="47" t="str">
        <x:v>Team page displays the server validation message.</x:v>
      </x:c>
      <x:c r="S13" s="47" t="str">
        <x:v>Agency login continuity is preserved.</x:v>
      </x:c>
      <x:c r="T13" s="47" t="str">
        <x:v>Authentication, email, public storefront, property assignment, leads, audit log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TEAM-010</x:v>
      </x:c>
      <x:c r="B14" s="47" t="str">
        <x:v>Team, Invitations and Agent Profiles</x:v>
      </x:c>
      <x:c r="C14" s="47" t="str">
        <x:v>Team, Invitations and Agent Profiles</x:v>
      </x:c>
      <x:c r="D14" s="47" t="str">
        <x:v>Agent cannot manage invitations</x:v>
      </x:c>
      <x:c r="E14" s="47" t="str">
        <x:v>List, create, update, or delete invitations directly through the API.</x:v>
      </x:c>
      <x:c r="F14" s="47" t="str">
        <x:v>Agent cannot manage invitations</x:v>
      </x:c>
      <x:c r="G14" s="47" t="str">
        <x:v>Permission</x:v>
      </x:c>
      <x:c r="H14" s="53" t="str">
        <x:v>P0</x:v>
      </x:c>
      <x:c r="I14" s="53" t="str">
        <x:v>Critical</x:v>
      </x:c>
      <x:c r="J14" s="47" t="str">
        <x:v>Agent</x:v>
      </x:c>
      <x:c r="K14" s="47" t="str">
        <x:v>Paid Agency A and B; owner, manager, two agents; SMTP capture; active, expired, and accepted invitation tokens.</x:v>
      </x:c>
      <x:c r="L14" s="47" t="str">
        <x:v>Unique invite email, roles agency_manager/agent, profile biography/license/languages, active/inactive states.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Paid Agency A and B; owner, manager, two agents; SMTP capture; active, expired, and accepted invitation tokens.
2. Sign in/use role: Agent.
3. Navigate to /team, /agents, /my-profile, /accept-invitation, public agent pages and capture the initial UI/API/database state.
4. Execute: List, create, update, or delete invitations directly through the API.
5. Inspect the network request/response against: GET/POST /api/agents/; GET/PATCH/DELETE /api/agents/{id}/; GET/PATCH /api/agents/me/profile/; /api/operations/invitations/; POST /api/operations/invitation/accept/; /api/operations/team-members/; GET /api/public/agencies/{license}/agents/.
6. Refresh/re-query the feature and related modules: Authentication, email, public storefront, property assignment, leads, audit log.
7. Verify affected models (AgencyUser, AgentProfile, Invitation, Notification, AuditLog) and all listed side effects.</x:v>
      </x:c>
      <x:c r="O14" s="47" t="str">
        <x:v>Every action is forbidden.</x:v>
      </x:c>
      <x:c r="P14" s="47" t="str">
        <x:v>No invitation or audit rows change.</x:v>
      </x:c>
      <x:c r="Q14" s="47" t="str">
        <x:v>Operations invitation endpoints return 403.</x:v>
      </x:c>
      <x:c r="R14" s="47" t="str">
        <x:v>Navigation/action controls are hidden or disabled; direct URL still fails.</x:v>
      </x:c>
      <x:c r="S14" s="47" t="str">
        <x:v>No email is sent.</x:v>
      </x:c>
      <x:c r="T14" s="47" t="str">
        <x:v>Authentication, email, public storefront, property assignment, leads, audit log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1" t="str">
        <x:v>TEAM-011</x:v>
      </x:c>
      <x:c r="B15" s="48" t="str">
        <x:v>Team, Invitations and Agent Profiles</x:v>
      </x:c>
      <x:c r="C15" s="48" t="str">
        <x:v>Team, Invitations and Agent Profiles</x:v>
      </x:c>
      <x:c r="D15" s="48" t="str">
        <x:v>Inactive agent disappears from public listing</x:v>
      </x:c>
      <x:c r="E15" s="48" t="str">
        <x:v>Soft-delete/deactivate an agent who has a public profile, then refresh public agents and detail.</x:v>
      </x:c>
      <x:c r="F15" s="48" t="str">
        <x:v>Inactive agent disappears from public listing</x:v>
      </x:c>
      <x:c r="G15" s="48" t="str">
        <x:v>Integration</x:v>
      </x:c>
      <x:c r="H15" s="54" t="str">
        <x:v>P1</x:v>
      </x:c>
      <x:c r="I15" s="54" t="str">
        <x:v>High</x:v>
      </x:c>
      <x:c r="J15" s="48" t="str">
        <x:v>Agency Owner and Public visitor</x:v>
      </x:c>
      <x:c r="K15" s="48" t="str">
        <x:v>Paid Agency A and B; owner, manager, two agents; SMTP capture; active, expired, and accepted invitation tokens.</x:v>
      </x:c>
      <x:c r="L15" s="48" t="str">
        <x:v>Unique invite email, roles agency_manager/agent, profile biography/license/languages, active/inactive states.</x:v>
      </x:c>
      <x:c r="M15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8" t="str">
        <x:v>1. Prepare: Paid Agency A and B; owner, manager, two agents; SMTP capture; active, expired, and accepted invitation tokens.
2. Sign in/use role: Agency Owner and Public visitor.
3. Navigate to /team, /agents, /my-profile, /accept-invitation, public agent pages and capture the initial UI/API/database state.
4. Execute: Soft-delete/deactivate an agent who has a public profile, then refresh public agents and detail.
5. Inspect the network request/response against: GET/POST /api/agents/; GET/PATCH/DELETE /api/agents/{id}/; GET/PATCH /api/agents/me/profile/; /api/operations/invitations/; POST /api/operations/invitation/accept/; /api/operations/team-members/; GET /api/public/agencies/{license}/agents/.
6. Refresh/re-query the feature and related modules: Authentication, email, public storefront, property assignment, leads, audit log.
7. Verify affected models (AgencyUser, AgentProfile, Invitation, Notification, AuditLog) and all listed side effects.</x:v>
      </x:c>
      <x:c r="O15" s="48" t="str">
        <x:v>Internal historical links remain; public list/detail no longer exposes the inactive agent.</x:v>
      </x:c>
      <x:c r="P15" s="48" t="str">
        <x:v>AgencyUser is_active becomes false; assigned business rows are not deleted.</x:v>
      </x:c>
      <x:c r="Q15" s="48" t="str">
        <x:v>Authenticated delete succeeds; public detail returns 404 and list excludes the agent.</x:v>
      </x:c>
      <x:c r="R15" s="48" t="str">
        <x:v>Public team cards disappear without breaking property history.</x:v>
      </x:c>
      <x:c r="S15" s="48" t="str">
        <x:v>Authentication for old tokens is rejected.</x:v>
      </x:c>
      <x:c r="T15" s="48" t="str">
        <x:v>Authentication, email, public storefront, property assignment, leads, audit log</x:v>
      </x:c>
      <x:c r="U15" s="48" t="str">
        <x:v>Restore mutated fixture state where required; retain evidence (request/response, screenshots, SQL counts and logs).</x:v>
      </x:c>
      <x:c r="V15" s="48" t="str"/>
      <x:c r="W15" s="54" t="str">
        <x:v>Not Run</x:v>
      </x:c>
      <x:c r="X15" s="54" t="str"/>
      <x:c r="Y15" s="54" t="str">
        <x:v>Yes</x:v>
      </x:c>
      <x:c r="Z15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5">
    <x:cfRule type="expression" dxfId="16" priority="1">
      <x:formula>H5="P0"</x:formula>
    </x:cfRule>
    <x:cfRule type="expression" dxfId="17" priority="2">
      <x:formula>H5="P1"</x:formula>
    </x:cfRule>
    <x:cfRule type="expression" dxfId="18" priority="3">
      <x:formula>H5="P2"</x:formula>
    </x:cfRule>
    <x:cfRule type="expression" dxfId="19" priority="4">
      <x:formula>H5="P3"</x:formula>
    </x:cfRule>
  </x:conditionalFormatting>
  <x:conditionalFormatting sqref="W5:W15">
    <x:cfRule type="expression" dxfId="20" priority="5">
      <x:formula>W5="Passed"</x:formula>
    </x:cfRule>
    <x:cfRule type="expression" dxfId="21" priority="6">
      <x:formula>W5="Failed"</x:formula>
    </x:cfRule>
    <x:cfRule type="expression" dxfId="22" priority="7">
      <x:formula>W5="Blocked"</x:formula>
    </x:cfRule>
    <x:cfRule type="expression" dxfId="23" priority="8">
      <x:formula>W5="Skipped"</x:formula>
    </x:cfRule>
  </x:conditionalFormatting>
  <x:dataValidations count="4">
    <x:dataValidation type="list" sqref="H5:H15">
      <x:formula1>"P0,P1,P2,P3"</x:formula1>
    </x:dataValidation>
    <x:dataValidation type="list" sqref="I5:I15">
      <x:formula1>"Critical,High,Medium,Low"</x:formula1>
    </x:dataValidation>
    <x:dataValidation type="list" sqref="W5:W15">
      <x:formula1>"Not Run,Passed,Failed,Blocked,Skipped"</x:formula1>
    </x:dataValidation>
    <x:dataValidation type="list" sqref="Y5:Y15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62523c5d034f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Property Inventory and Lifecycle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PROP-001</x:v>
      </x:c>
      <x:c r="B5" s="46" t="str">
        <x:v>Property Inventory and Lifecycle</x:v>
      </x:c>
      <x:c r="C5" s="46" t="str">
        <x:v>Property Inventory and Lifecycle</x:v>
      </x:c>
      <x:c r="D5" s="46" t="str">
        <x:v>Complete the primary Property Inventory and Lifecycle workflow</x:v>
      </x:c>
      <x:c r="E5" s="46" t="str">
        <x:v>Create a complete property as an owner and make it available/published.</x:v>
      </x:c>
      <x:c r="F5" s="46" t="str">
        <x:v>Complete the primary Property Inventory and Lifecycle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Paid Agency A and B; owner/manager/agents; draft/available/reserved/negotiation/sold/rented/withdrawn properties.</x:v>
      </x:c>
      <x:c r="L5" s="46" t="str">
        <x:v>Valid property payload, assigned agent, publication flag, status, address and price; cross-tenant IDs.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Paid Agency A and B; owner/manager/agents; draft/available/reserved/negotiation/sold/rented/withdrawn properties.
2. Sign in/use role: Agency Owner.
3. Navigate to /properties, /properties/add, /properties/:id, /properties/:id/edit and capture the initial UI/API/database state.
4. Execute: Create a complete property as an owner and make it available/published.
5. Inspect the network request/response against: GET/POST /api/properties/; GET/PUT/PATCH/DELETE /api/properties/{id}/; GET /api/properties/filter-options/; public property list/detail endpoints.
6. Refresh/re-query the feature and related modules: Agency, agents, Nepal data, media, freshness, verification, distribution, public storefront, leads.
7. Verify affected models (Property, PropertyHistory, PropertyDuplicateFlag, PropertyMedia, AgencyUser) and all listed side effects.</x:v>
      </x:c>
      <x:c r="O5" s="46" t="str">
        <x:v>Property is tenant-scoped, receives derived identifiers/area data, records history/duplicate evaluation, and is public only when every eligibility condition passes.</x:v>
      </x:c>
      <x:c r="P5" s="46" t="str">
        <x:v>Property +1; PropertyHistory and possible PropertyDuplicateFlag rows; failed transaction creates none; update changes only targeted property.</x:v>
      </x:c>
      <x:c r="Q5" s="46" t="str">
        <x:v>Use the documented routes: GET/POST /api/properties/; GET/PUT/PATCH/DELETE /api/properties/{id}/; GET /api/properties/filter-options/; public property list/detail endpoints. Successful create operations return 201, reads/updates/actions 200, and deletes 204 where provided; capture exact endpoint-specific response.</x:v>
      </x:c>
      <x:c r="R5" s="46" t="str">
        <x:v>Start at /properties, /properties/add, /properties/:id, /properties/:id/edit. The visible state must match the saved API response after refresh.</x:v>
      </x:c>
      <x:c r="S5" s="46" t="str">
        <x:v>Public visibility, dashboard counts, filter options, duplicate queue, distribution eligibility, and agent inventory can change.</x:v>
      </x:c>
      <x:c r="T5" s="46" t="str">
        <x:v>Agency, agents, Nepal data, media, freshness, verification, distribution, public storefront, leads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PROP-002</x:v>
      </x:c>
      <x:c r="B6" s="47" t="str">
        <x:v>Property Inventory and Lifecycle</x:v>
      </x:c>
      <x:c r="C6" s="47" t="str">
        <x:v>Property Inventory and Lifecycle</x:v>
      </x:c>
      <x:c r="D6" s="47" t="str">
        <x:v>Reject invalid or missing Property Inventory and Lifecycle inputs</x:v>
      </x:c>
      <x:c r="E6" s="47" t="str">
        <x:v>Reject missing title/type/purpose/address/price as defined by serializer, cross-agency agent IDs, invalid choices, and publish attempts from draft or by an agent.</x:v>
      </x:c>
      <x:c r="F6" s="47" t="str">
        <x:v>Reject invalid or missing Property Inventory and Lifecycle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Paid Agency A and B; owner/manager/agents; draft/available/reserved/negotiation/sold/rented/withdrawn properties.</x:v>
      </x:c>
      <x:c r="L6" s="47" t="str">
        <x:v>Valid property payload, assigned agent, publication flag, status, address and price; cross-tenant IDs.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Paid Agency A and B; owner/manager/agents; draft/available/reserved/negotiation/sold/rented/withdrawn properties.
2. Sign in/use role: Agency Owner.
3. Navigate to /properties, /properties/add, /properties/:id, /properties/:id/edit and capture the initial UI/API/database state.
4. Execute: Reject missing title/type/purpose/address/price as defined by serializer, cross-agency agent IDs, invalid choices, and publish attempts from draft or by an agent.
5. Inspect the network request/response against: GET/POST /api/properties/; GET/PUT/PATCH/DELETE /api/properties/{id}/; GET /api/properties/filter-options/; public property list/detail endpoints.
6. Refresh/re-query the feature and related modules: Agency, agents, Nepal data, media, freshness, verification, distribution, public storefront, leads.
7. Verify affected models (Property, PropertyHistory, PropertyDuplicateFlag, PropertyMedia, AgencyUser)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Agency, agents, Nepal data, media, freshness, verification, distribution, public storefront, leads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PROP-003</x:v>
      </x:c>
      <x:c r="B7" s="47" t="str">
        <x:v>Property Inventory and Lifecycle</x:v>
      </x:c>
      <x:c r="C7" s="47" t="str">
        <x:v>Property Inventory and Lifecycle</x:v>
      </x:c>
      <x:c r="D7" s="47" t="str">
        <x:v>Enforce Property Inventory and Lifecycle role permissions</x:v>
      </x:c>
      <x:c r="E7" s="47" t="str">
        <x:v>Owner/manager can update any tenant property; agent-created property is forced to draft and self-assigned; agent edits only assigned property and allowed fields; agent cannot publish, reassign, or delete.</x:v>
      </x:c>
      <x:c r="F7" s="47" t="str">
        <x:v>Enforce Property Inventory and Lifecycle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Paid Agency A and B; owner/manager/agents; draft/available/reserved/negotiation/sold/rented/withdrawn properties.</x:v>
      </x:c>
      <x:c r="L7" s="47" t="str">
        <x:v>Valid property payload, assigned agent, publication flag, status, address and price; cross-tenant IDs.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Paid Agency A and B; owner/manager/agents; draft/available/reserved/negotiation/sold/rented/withdrawn properties.
2. Sign in/use role: Exercise every listed role plus an unauthenticated caller.
3. Navigate to /properties, /properties/add, /properties/:id, /properties/:id/edit and capture the initial UI/API/database state.
4. Execute: Owner/manager can update any tenant property; agent-created property is forced to draft and self-assigned; agent edits only assigned property and allowed fields; agent cannot publish, reassign, or delete.
5. Inspect the network request/response against: GET/POST /api/properties/; GET/PUT/PATCH/DELETE /api/properties/{id}/; GET /api/properties/filter-options/; public property list/detail endpoints.
6. Refresh/re-query the feature and related modules: Agency, agents, Nepal data, media, freshness, verification, distribution, public storefront, leads.
7. Verify affected models (Property, PropertyHistory, PropertyDuplicateFlag, PropertyMedia, AgencyUser)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Agency, agents, Nepal data, media, freshness, verification, distribution, public storefront, leads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PROP-004</x:v>
      </x:c>
      <x:c r="B8" s="47" t="str">
        <x:v>Property Inventory and Lifecycle</x:v>
      </x:c>
      <x:c r="C8" s="47" t="str">
        <x:v>Property Inventory and Lifecycle</x:v>
      </x:c>
      <x:c r="D8" s="47" t="str">
        <x:v>Prevent cross-tenant access in Property Inventory and Lifecycle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Property Inventory and Lifecycle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Paid Agency A and B; owner/manager/agents; draft/available/reserved/negotiation/sold/rented/withdrawn properties.</x:v>
      </x:c>
      <x:c r="L8" s="47" t="str">
        <x:v>Valid property payload, assigned agent, publication flag, status, address and price; cross-tenant IDs.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Paid Agency A and B; owner/manager/agents; draft/available/reserved/negotiation/sold/rented/withdrawn properties.
2. Sign in/use role: Agency A authenticated user and Agency B fixture.
3. Navigate to /properties, /properties/add, /properties/:id, /properties/:id/edit and capture the initial UI/API/database state.
4. Execute: Substitute Agency B object IDs, related IDs, slugs, files and filter parameters into every Agency A list/detail/create/update/delete/action request.
5. Inspect the network request/response against: GET/POST /api/properties/; GET/PUT/PATCH/DELETE /api/properties/{id}/; GET /api/properties/filter-options/; public property list/detail endpoints.
6. Refresh/re-query the feature and related modules: Agency, agents, Nepal data, media, freshness, verification, distribution, public storefront, leads.
7. Verify affected models (Property, PropertyHistory, PropertyDuplicateFlag, PropertyMedia, AgencyUser)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Agency, agents, Nepal data, media, freshness, verification, distribution, public storefront, leads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PROP-005</x:v>
      </x:c>
      <x:c r="B9" s="47" t="str">
        <x:v>Property Inventory and Lifecycle</x:v>
      </x:c>
      <x:c r="C9" s="47" t="str">
        <x:v>Property Inventory and Lifecycle</x:v>
      </x:c>
      <x:c r="D9" s="47" t="str">
        <x:v>Verify Property Inventory and Lifecycle list, search and filter scoping</x:v>
      </x:c>
      <x:c r="E9" s="47" t="str">
        <x:v>Filters cover type, status, city, neighbourhood, assigned/unassigned agent, search by title/location/ID, and canonical area ranges.</x:v>
      </x:c>
      <x:c r="F9" s="47" t="str">
        <x:v>Verify Property Inventory and Lifecycle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Paid Agency A and B; owner/manager/agents; draft/available/reserved/negotiation/sold/rented/withdrawn properties.</x:v>
      </x:c>
      <x:c r="L9" s="47" t="str">
        <x:v>Valid property payload, assigned agent, publication flag, status, address and price; cross-tenant IDs.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Paid Agency A and B; owner/manager/agents; draft/available/reserved/negotiation/sold/rented/withdrawn properties.
2. Sign in/use role: Agency Owner.
3. Navigate to /properties, /properties/add, /properties/:id, /properties/:id/edit and capture the initial UI/API/database state.
4. Execute: Filters cover type, status, city, neighbourhood, assigned/unassigned agent, search by title/location/ID, and canonical area ranges.
5. Inspect the network request/response against: GET/POST /api/properties/; GET/PUT/PATCH/DELETE /api/properties/{id}/; GET /api/properties/filter-options/; public property list/detail endpoints.
6. Refresh/re-query the feature and related modules: Agency, agents, Nepal data, media, freshness, verification, distribution, public storefront, leads.
7. Verify affected models (Property, PropertyHistory, PropertyDuplicateFlag, PropertyMedia, AgencyUser)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Agency, agents, Nepal data, media, freshness, verification, distribution, public storefront, leads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PROP-006</x:v>
      </x:c>
      <x:c r="B10" s="47" t="str">
        <x:v>Property Inventory and Lifecycle</x:v>
      </x:c>
      <x:c r="C10" s="47" t="str">
        <x:v>Property Inventory and Lifecycle</x:v>
      </x:c>
      <x:c r="D10" s="47" t="str">
        <x:v>Test duplicate submission and idempotency for Property Inventory and Lifecycle</x:v>
      </x:c>
      <x:c r="E10" s="47" t="str">
        <x:v>Double-click/submit identical requests sequentially and concurrently. Current rule: Duplicate detection flags likely matches rather than silently merging; repeated create without client idempotency can create another property and must be observed.</x:v>
      </x:c>
      <x:c r="F10" s="47" t="str">
        <x:v>Test duplicate submission and idempotency for Property Inventory and Lifecycle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Paid Agency A and B; owner/manager/agents; draft/available/reserved/negotiation/sold/rented/withdrawn properties.</x:v>
      </x:c>
      <x:c r="L10" s="47" t="str">
        <x:v>Valid property payload, assigned agent, publication flag, status, address and price; cross-tenant IDs.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Paid Agency A and B; owner/manager/agents; draft/available/reserved/negotiation/sold/rented/withdrawn properties.
2. Sign in/use role: Agency Owner.
3. Navigate to /properties, /properties/add, /properties/:id, /properties/:id/edit and capture the initial UI/API/database state.
4. Execute: Double-click/submit identical requests sequentially and concurrently. Current rule: Duplicate detection flags likely matches rather than silently merging; repeated create without client idempotency can create another property and must be observed.
5. Inspect the network request/response against: GET/POST /api/properties/; GET/PUT/PATCH/DELETE /api/properties/{id}/; GET /api/properties/filter-options/; public property list/detail endpoints.
6. Refresh/re-query the feature and related modules: Agency, agents, Nepal data, media, freshness, verification, distribution, public storefront, leads.
7. Verify affected models (Property, PropertyHistory, PropertyDuplicateFlag, PropertyMedia, AgencyUser)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Agency, agents, Nepal data, media, freshness, verification, distribution, public storefront, leads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PROP-007</x:v>
      </x:c>
      <x:c r="B11" s="47" t="str">
        <x:v>Property Inventory and Lifecycle</x:v>
      </x:c>
      <x:c r="C11" s="47" t="str">
        <x:v>Property Inventory and Lifecycle</x:v>
      </x:c>
      <x:c r="D11" s="47" t="str">
        <x:v>Verify deletion and dependency behavior for Property Inventory and Lifecycle</x:v>
      </x:c>
      <x:c r="E11" s="47" t="str">
        <x:v>Delete an unreferenced record, a referenced record, a foreign-tenant record, and an already-deleted ID. Current rule: Owner/manager delete is hard delete subject to relational on_delete rules; agent delete is forbidden; dependent protected records may block deletion.</x:v>
      </x:c>
      <x:c r="F11" s="47" t="str">
        <x:v>Verify deletion and dependency behavior for Property Inventory and Lifecycle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Paid Agency A and B; owner/manager/agents; draft/available/reserved/negotiation/sold/rented/withdrawn properties.</x:v>
      </x:c>
      <x:c r="L11" s="47" t="str">
        <x:v>Valid property payload, assigned agent, publication flag, status, address and price; cross-tenant IDs.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Paid Agency A and B; owner/manager/agents; draft/available/reserved/negotiation/sold/rented/withdrawn properties.
2. Sign in/use role: Agency Owner or Agency Manager.
3. Navigate to /properties, /properties/add, /properties/:id, /properties/:id/edit and capture the initial UI/API/database state.
4. Execute: Delete an unreferenced record, a referenced record, a foreign-tenant record, and an already-deleted ID. Current rule: Owner/manager delete is hard delete subject to relational on_delete rules; agent delete is forbidden; dependent protected records may block deletion.
5. Inspect the network request/response against: GET/POST /api/properties/; GET/PUT/PATCH/DELETE /api/properties/{id}/; GET /api/properties/filter-options/; public property list/detail endpoints.
6. Refresh/re-query the feature and related modules: Agency, agents, Nepal data, media, freshness, verification, distribution, public storefront, leads.
7. Verify affected models (Property, PropertyHistory, PropertyDuplicateFlag, PropertyMedia, AgencyUser)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Agency, agents, Nepal data, media, freshness, verification, distribution, public storefront, leads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PROP-008</x:v>
      </x:c>
      <x:c r="B12" s="47" t="str">
        <x:v>Property Inventory and Lifecycle</x:v>
      </x:c>
      <x:c r="C12" s="47" t="str">
        <x:v>Property Inventory and Lifecycle</x:v>
      </x:c>
      <x:c r="D12" s="47" t="str">
        <x:v>Recover cleanly from API/network failure during Property Inventory and Lifecycle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Property Inventory and Lifecycle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Paid Agency A and B; owner/manager/agents; draft/available/reserved/negotiation/sold/rented/withdrawn properties.</x:v>
      </x:c>
      <x:c r="L12" s="47" t="str">
        <x:v>Valid property payload, assigned agent, publication flag, status, address and price; cross-tenant IDs.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Paid Agency A and B; owner/manager/agents; draft/available/reserved/negotiation/sold/rented/withdrawn properties.
2. Sign in/use role: Agency Owner.
3. Navigate to /properties, /properties/add, /properties/:id, /properties/:id/edit and capture the initial UI/API/database state.
4. Execute: Simulate timeout, offline browser, 500 response, expired access token and failed refresh while submitting the primary workflow.
5. Inspect the network request/response against: GET/POST /api/properties/; GET/PUT/PATCH/DELETE /api/properties/{id}/; GET /api/properties/filter-options/; public property list/detail endpoints.
6. Refresh/re-query the feature and related modules: Agency, agents, Nepal data, media, freshness, verification, distribution, public storefront, leads.
7. Verify affected models (Property, PropertyHistory, PropertyDuplicateFlag, PropertyMedia, AgencyUser)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Agency, agents, Nepal data, media, freshness, verification, distribution, public storefront, leads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PROP-009</x:v>
      </x:c>
      <x:c r="B13" s="47" t="str">
        <x:v>Property Inventory and Lifecycle</x:v>
      </x:c>
      <x:c r="C13" s="47" t="str">
        <x:v>Property Inventory and Lifecycle</x:v>
      </x:c>
      <x:c r="D13" s="47" t="str">
        <x:v>Agent-created property is forced to draft and self-assigned</x:v>
      </x:c>
      <x:c r="E13" s="47" t="str">
        <x:v>POST a property with status=available, is_published=true, and another assigned_agent.</x:v>
      </x:c>
      <x:c r="F13" s="47" t="str">
        <x:v>Agent-created property is forced to draft and self-assigned</x:v>
      </x:c>
      <x:c r="G13" s="47" t="str">
        <x:v>Permission</x:v>
      </x:c>
      <x:c r="H13" s="53" t="str">
        <x:v>P0</x:v>
      </x:c>
      <x:c r="I13" s="53" t="str">
        <x:v>Critical</x:v>
      </x:c>
      <x:c r="J13" s="47" t="str">
        <x:v>Agent</x:v>
      </x:c>
      <x:c r="K13" s="47" t="str">
        <x:v>Paid Agency A and B; owner/manager/agents; draft/available/reserved/negotiation/sold/rented/withdrawn properties.</x:v>
      </x:c>
      <x:c r="L13" s="47" t="str">
        <x:v>Valid property payload, assigned agent, publication flag, status, address and price; cross-tenant IDs.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Paid Agency A and B; owner/manager/agents; draft/available/reserved/negotiation/sold/rented/withdrawn properties.
2. Sign in/use role: Agent.
3. Navigate to /properties, /properties/add, /properties/:id, /properties/:id/edit and capture the initial UI/API/database state.
4. Execute: POST a property with status=available, is_published=true, and another assigned_agent.
5. Inspect the network request/response against: GET/POST /api/properties/; GET/PUT/PATCH/DELETE /api/properties/{id}/; GET /api/properties/filter-options/; public property list/detail endpoints.
6. Refresh/re-query the feature and related modules: Agency, agents, Nepal data, media, freshness, verification, distribution, public storefront, leads.
7. Verify affected models (Property, PropertyHistory, PropertyDuplicateFlag, PropertyMedia, AgencyUser) and all listed side effects.</x:v>
      </x:c>
      <x:c r="O13" s="47" t="str">
        <x:v>The created property is draft, unpublished, and assigned to the requesting agent.</x:v>
      </x:c>
      <x:c r="P13" s="47" t="str">
        <x:v>One Property plus history; no foreign agent assignment.</x:v>
      </x:c>
      <x:c r="Q13" s="47" t="str">
        <x:v>POST /api/properties/ returns 201 with enforced fields.</x:v>
      </x:c>
      <x:c r="R13" s="47" t="str">
        <x:v>Detail page shows Draft and the current agent; publish controls are unavailable.</x:v>
      </x:c>
      <x:c r="S13" s="47" t="str">
        <x:v>Property is absent from public endpoints.</x:v>
      </x:c>
      <x:c r="T13" s="47" t="str">
        <x:v>Agency, agents, Nepal data, media, freshness, verification, distribution, public storefront, leads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PROP-010</x:v>
      </x:c>
      <x:c r="B14" s="47" t="str">
        <x:v>Property Inventory and Lifecycle</x:v>
      </x:c>
      <x:c r="C14" s="47" t="str">
        <x:v>Property Inventory and Lifecycle</x:v>
      </x:c>
      <x:c r="D14" s="47" t="str">
        <x:v>Draft cannot be directly published</x:v>
      </x:c>
      <x:c r="E14" s="47" t="str">
        <x:v>Create a draft, then PATCH only is_published=true without moving to an allowed availability state.</x:v>
      </x:c>
      <x:c r="F14" s="47" t="str">
        <x:v>Draft cannot be directly published</x:v>
      </x:c>
      <x:c r="G14" s="47" t="str">
        <x:v>State Transition</x:v>
      </x:c>
      <x:c r="H14" s="53" t="str">
        <x:v>P0</x:v>
      </x:c>
      <x:c r="I14" s="53" t="str">
        <x:v>Critical</x:v>
      </x:c>
      <x:c r="J14" s="47" t="str">
        <x:v>Agency Owner</x:v>
      </x:c>
      <x:c r="K14" s="47" t="str">
        <x:v>Paid Agency A and B; owner/manager/agents; draft/available/reserved/negotiation/sold/rented/withdrawn properties.</x:v>
      </x:c>
      <x:c r="L14" s="47" t="str">
        <x:v>Valid property payload, assigned agent, publication flag, status, address and price; cross-tenant IDs.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Paid Agency A and B; owner/manager/agents; draft/available/reserved/negotiation/sold/rented/withdrawn properties.
2. Sign in/use role: Agency Owner.
3. Navigate to /properties, /properties/add, /properties/:id, /properties/:id/edit and capture the initial UI/API/database state.
4. Execute: Create a draft, then PATCH only is_published=true without moving to an allowed availability state.
5. Inspect the network request/response against: GET/POST /api/properties/; GET/PUT/PATCH/DELETE /api/properties/{id}/; GET /api/properties/filter-options/; public property list/detail endpoints.
6. Refresh/re-query the feature and related modules: Agency, agents, Nepal data, media, freshness, verification, distribution, public storefront, leads.
7. Verify affected models (Property, PropertyHistory, PropertyDuplicateFlag, PropertyMedia, AgencyUser) and all listed side effects.</x:v>
      </x:c>
      <x:c r="O14" s="47" t="str">
        <x:v>Publication is rejected or remains false according to serializer validation.</x:v>
      </x:c>
      <x:c r="P14" s="47" t="str">
        <x:v>No public-eligibility timestamps are initialized; history reflects only accepted mutations.</x:v>
      </x:c>
      <x:c r="Q14" s="47" t="str">
        <x:v>PATCH returns 400 for invalid publication state.</x:v>
      </x:c>
      <x:c r="R14" s="47" t="str">
        <x:v>Form presents the validation error and preserves unsaved inputs.</x:v>
      </x:c>
      <x:c r="S14" s="47" t="str">
        <x:v>Public list remains unchanged.</x:v>
      </x:c>
      <x:c r="T14" s="47" t="str">
        <x:v>Agency, agents, Nepal data, media, freshness, verification, distribution, public storefront, leads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PROP-011</x:v>
      </x:c>
      <x:c r="B15" s="47" t="str">
        <x:v>Property Inventory and Lifecycle</x:v>
      </x:c>
      <x:c r="C15" s="47" t="str">
        <x:v>Property Inventory and Lifecycle</x:v>
      </x:c>
      <x:c r="D15" s="47" t="str">
        <x:v>Cross-agency assigned agent ID is rejected</x:v>
      </x:c>
      <x:c r="E15" s="47" t="str">
        <x:v>Create/update Property A using Agent B's ID.</x:v>
      </x:c>
      <x:c r="F15" s="47" t="str">
        <x:v>Cross-agency assigned agent ID is rejected</x:v>
      </x:c>
      <x:c r="G15" s="47" t="str">
        <x:v>Security</x:v>
      </x:c>
      <x:c r="H15" s="53" t="str">
        <x:v>P0</x:v>
      </x:c>
      <x:c r="I15" s="53" t="str">
        <x:v>Critical</x:v>
      </x:c>
      <x:c r="J15" s="47" t="str">
        <x:v>Agency Owner A</x:v>
      </x:c>
      <x:c r="K15" s="47" t="str">
        <x:v>Paid Agency A and B; owner/manager/agents; draft/available/reserved/negotiation/sold/rented/withdrawn properties.</x:v>
      </x:c>
      <x:c r="L15" s="47" t="str">
        <x:v>Valid property payload, assigned agent, publication flag, status, address and price; cross-tenant IDs.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Paid Agency A and B; owner/manager/agents; draft/available/reserved/negotiation/sold/rented/withdrawn properties.
2. Sign in/use role: Agency Owner A.
3. Navigate to /properties, /properties/add, /properties/:id, /properties/:id/edit and capture the initial UI/API/database state.
4. Execute: Create/update Property A using Agent B's ID.
5. Inspect the network request/response against: GET/POST /api/properties/; GET/PUT/PATCH/DELETE /api/properties/{id}/; GET /api/properties/filter-options/; public property list/detail endpoints.
6. Refresh/re-query the feature and related modules: Agency, agents, Nepal data, media, freshness, verification, distribution, public storefront, leads.
7. Verify affected models (Property, PropertyHistory, PropertyDuplicateFlag, PropertyMedia, AgencyUser) and all listed side effects.</x:v>
      </x:c>
      <x:c r="O15" s="47" t="str">
        <x:v>Assignment fails and no tenant relationship is formed.</x:v>
      </x:c>
      <x:c r="P15" s="47" t="str">
        <x:v>Property assigned_agent remains null/unchanged.</x:v>
      </x:c>
      <x:c r="Q15" s="47" t="str">
        <x:v>POST/PATCH returns 400 or scoped not-found as implemented.</x:v>
      </x:c>
      <x:c r="R15" s="47" t="str">
        <x:v>Agent selector never offers Agent B; API tampering is still rejected.</x:v>
      </x:c>
      <x:c r="S15" s="47" t="str">
        <x:v>No notification/history for the rejected assignment.</x:v>
      </x:c>
      <x:c r="T15" s="47" t="str">
        <x:v>Agency, agents, Nepal data, media, freshness, verification, distribution, public storefront, leads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PROP-012</x:v>
      </x:c>
      <x:c r="B16" s="48" t="str">
        <x:v>Property Inventory and Lifecycle</x:v>
      </x:c>
      <x:c r="C16" s="48" t="str">
        <x:v>Property Inventory and Lifecycle</x:v>
      </x:c>
      <x:c r="D16" s="48" t="str">
        <x:v>Search and combined filters return deterministic tenant results</x:v>
      </x:c>
      <x:c r="E16" s="48" t="str">
        <x:v>Combine property type, status, city, neighbourhood, assigned agent, and search filters.</x:v>
      </x:c>
      <x:c r="F16" s="48" t="str">
        <x:v>Search and combined filters return deterministic tenant results</x:v>
      </x:c>
      <x:c r="G16" s="48" t="str">
        <x:v>API</x:v>
      </x:c>
      <x:c r="H16" s="54" t="str">
        <x:v>P1</x:v>
      </x:c>
      <x:c r="I16" s="54" t="str">
        <x:v>High</x:v>
      </x:c>
      <x:c r="J16" s="48" t="str">
        <x:v>Agency Manager</x:v>
      </x:c>
      <x:c r="K16" s="48" t="str">
        <x:v>Paid Agency A and B; owner/manager/agents; draft/available/reserved/negotiation/sold/rented/withdrawn properties.</x:v>
      </x:c>
      <x:c r="L16" s="48" t="str">
        <x:v>Valid property payload, assigned agent, publication flag, status, address and price; cross-tenant IDs.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Paid Agency A and B; owner/manager/agents; draft/available/reserved/negotiation/sold/rented/withdrawn properties.
2. Sign in/use role: Agency Manager.
3. Navigate to /properties, /properties/add, /properties/:id, /properties/:id/edit and capture the initial UI/API/database state.
4. Execute: Combine property type, status, city, neighbourhood, assigned agent, and search filters.
5. Inspect the network request/response against: GET/POST /api/properties/; GET/PUT/PATCH/DELETE /api/properties/{id}/; GET /api/properties/filter-options/; public property list/detail endpoints.
6. Refresh/re-query the feature and related modules: Agency, agents, Nepal data, media, freshness, verification, distribution, public storefront, leads.
7. Verify affected models (Property, PropertyHistory, PropertyDuplicateFlag, PropertyMedia, AgencyUser) and all listed side effects.</x:v>
      </x:c>
      <x:c r="O16" s="48" t="str">
        <x:v>Only Agency A properties matching every supplied condition are returned in stable pagination.</x:v>
      </x:c>
      <x:c r="P16" s="48" t="str">
        <x:v>No rows change.</x:v>
      </x:c>
      <x:c r="Q16" s="48" t="str">
        <x:v>GET /api/properties/ returns 200; invalid assigned_agent produces the implemented empty list.</x:v>
      </x:c>
      <x:c r="R16" s="48" t="str">
        <x:v>Filters remain reflected in the UI and result count.</x:v>
      </x:c>
      <x:c r="S16" s="48" t="str">
        <x:v>Filter-options endpoint remains consistent with available tenant data.</x:v>
      </x:c>
      <x:c r="T16" s="48" t="str">
        <x:v>Agency, agents, Nepal data, media, freshness, verification, distribution, public storefront, leads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24" priority="1">
      <x:formula>H5="P0"</x:formula>
    </x:cfRule>
    <x:cfRule type="expression" dxfId="25" priority="2">
      <x:formula>H5="P1"</x:formula>
    </x:cfRule>
    <x:cfRule type="expression" dxfId="26" priority="3">
      <x:formula>H5="P2"</x:formula>
    </x:cfRule>
    <x:cfRule type="expression" dxfId="27" priority="4">
      <x:formula>H5="P3"</x:formula>
    </x:cfRule>
  </x:conditionalFormatting>
  <x:conditionalFormatting sqref="W5:W16">
    <x:cfRule type="expression" dxfId="28" priority="5">
      <x:formula>W5="Passed"</x:formula>
    </x:cfRule>
    <x:cfRule type="expression" dxfId="29" priority="6">
      <x:formula>W5="Failed"</x:formula>
    </x:cfRule>
    <x:cfRule type="expression" dxfId="30" priority="7">
      <x:formula>W5="Blocked"</x:formula>
    </x:cfRule>
    <x:cfRule type="expression" dxfId="31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de54ccb16d48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Nepal Property Data and Area Conversion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NPD-001</x:v>
      </x:c>
      <x:c r="B5" s="46" t="str">
        <x:v>Nepal Property Data and Area Conversion</x:v>
      </x:c>
      <x:c r="C5" s="46" t="str">
        <x:v>Nepal Property Data and Area Conversion</x:v>
      </x:c>
      <x:c r="D5" s="46" t="str">
        <x:v>Complete the primary Nepal Property Data and Area Conversion workflow</x:v>
      </x:c>
      <x:c r="E5" s="46" t="str">
        <x:v>Create equivalent plots using each supported unit family and compare canonical area and unit prices.</x:v>
      </x:c>
      <x:c r="F5" s="46" t="str">
        <x:v>Complete the primary Nepal Property Data and Area Conversion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Property form fixture for hill units, Terai units, square feet and square metres; known conversion values and NPR prices.</x:v>
      </x:c>
      <x:c r="L5" s="46" t="str">
        <x:v>Ropani/Aana/Paisa/Daam; Bigha/Kattha/Dhur; sqft/sqm; province/district/municipality/ward/tole; road, facing, mohada/pichhad, utilities.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Property form fixture for hill units, Terai units, square feet and square metres; known conversion values and NPR prices.
2. Sign in/use role: Agency Owner.
3. Navigate to /properties/add steps, property details/edit, public property detail/filtering and capture the initial UI/API/database state.
4. Execute: Create equivalent plots using each supported unit family and compare canonical area and unit prices.
5. Inspect the network request/response against: POST/PATCH /api/properties/; GET /api/properties/filter-options/; GET public property list/detail/filter-options.
6. Refresh/re-query the feature and related modules: Property serializer/model conversion helpers, filtering, public payload, localization/price formatting.
7. Verify affected models (Property canonical_area_sqft and structured Nepal fields) and all listed side effects.</x:v>
      </x:c>
      <x:c r="O5" s="46" t="str">
        <x:v>Canonical square-foot area is mathematically consistent, conversion payloads and price-per-unit values agree, and structured Nepal fields round-trip to authenticated/public views.</x:v>
      </x:c>
      <x:c r="P5" s="46" t="str">
        <x:v>Property fields and canonical_area_sqft update; no extra conversion table rows are created.</x:v>
      </x:c>
      <x:c r="Q5" s="46" t="str">
        <x:v>Use the documented routes: POST/PATCH /api/properties/; GET /api/properties/filter-options/; GET public property list/detail/filter-options. Successful create operations return 201, reads/updates/actions 200, and deletes 204 where provided; capture exact endpoint-specific response.</x:v>
      </x:c>
      <x:c r="R5" s="46" t="str">
        <x:v>Start at /properties/add steps, property details/edit, public property detail/filtering. The visible state must match the saved API response after refresh.</x:v>
      </x:c>
      <x:c r="S5" s="46" t="str">
        <x:v>Price display, filter matching, brochures/exports, matching score, and public detail change.</x:v>
      </x:c>
      <x:c r="T5" s="46" t="str">
        <x:v>Property serializer/model conversion helpers, filtering, public payload, localization/price formatting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NPD-002</x:v>
      </x:c>
      <x:c r="B6" s="47" t="str">
        <x:v>Nepal Property Data and Area Conversion</x:v>
      </x:c>
      <x:c r="C6" s="47" t="str">
        <x:v>Nepal Property Data and Area Conversion</x:v>
      </x:c>
      <x:c r="D6" s="47" t="str">
        <x:v>Reject invalid or missing Nepal Property Data and Area Conversion inputs</x:v>
      </x:c>
      <x:c r="E6" s="47" t="str">
        <x:v>Reject negative area/road/distance values, unsupported units/choices, nonsensical ward/address combinations where validation exists, and zero-area price-rate division.</x:v>
      </x:c>
      <x:c r="F6" s="47" t="str">
        <x:v>Reject invalid or missing Nepal Property Data and Area Conversion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Property form fixture for hill units, Terai units, square feet and square metres; known conversion values and NPR prices.</x:v>
      </x:c>
      <x:c r="L6" s="47" t="str">
        <x:v>Ropani/Aana/Paisa/Daam; Bigha/Kattha/Dhur; sqft/sqm; province/district/municipality/ward/tole; road, facing, mohada/pichhad, utilities.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Property form fixture for hill units, Terai units, square feet and square metres; known conversion values and NPR prices.
2. Sign in/use role: Agency Owner.
3. Navigate to /properties/add steps, property details/edit, public property detail/filtering and capture the initial UI/API/database state.
4. Execute: Reject negative area/road/distance values, unsupported units/choices, nonsensical ward/address combinations where validation exists, and zero-area price-rate division.
5. Inspect the network request/response against: POST/PATCH /api/properties/; GET /api/properties/filter-options/; GET public property list/detail/filter-options.
6. Refresh/re-query the feature and related modules: Property serializer/model conversion helpers, filtering, public payload, localization/price formatting.
7. Verify affected models (Property canonical_area_sqft and structured Nepal fields)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Property serializer/model conversion helpers, filtering, public payload, localization/price formatting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NPD-003</x:v>
      </x:c>
      <x:c r="B7" s="47" t="str">
        <x:v>Nepal Property Data and Area Conversion</x:v>
      </x:c>
      <x:c r="C7" s="47" t="str">
        <x:v>Nepal Property Data and Area Conversion</x:v>
      </x:c>
      <x:c r="D7" s="47" t="str">
        <x:v>Enforce Nepal Property Data and Area Conversion role permissions</x:v>
      </x:c>
      <x:c r="E7" s="47" t="str">
        <x:v>Same property mutation rules as core inventory; public reads only eligible property data.</x:v>
      </x:c>
      <x:c r="F7" s="47" t="str">
        <x:v>Enforce Nepal Property Data and Area Conversion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Property form fixture for hill units, Terai units, square feet and square metres; known conversion values and NPR prices.</x:v>
      </x:c>
      <x:c r="L7" s="47" t="str">
        <x:v>Ropani/Aana/Paisa/Daam; Bigha/Kattha/Dhur; sqft/sqm; province/district/municipality/ward/tole; road, facing, mohada/pichhad, utilities.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Property form fixture for hill units, Terai units, square feet and square metres; known conversion values and NPR prices.
2. Sign in/use role: Exercise every listed role plus an unauthenticated caller.
3. Navigate to /properties/add steps, property details/edit, public property detail/filtering and capture the initial UI/API/database state.
4. Execute: Same property mutation rules as core inventory; public reads only eligible property data.
5. Inspect the network request/response against: POST/PATCH /api/properties/; GET /api/properties/filter-options/; GET public property list/detail/filter-options.
6. Refresh/re-query the feature and related modules: Property serializer/model conversion helpers, filtering, public payload, localization/price formatting.
7. Verify affected models (Property canonical_area_sqft and structured Nepal fields)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Property serializer/model conversion helpers, filtering, public payload, localization/price formatting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NPD-004</x:v>
      </x:c>
      <x:c r="B8" s="47" t="str">
        <x:v>Nepal Property Data and Area Conversion</x:v>
      </x:c>
      <x:c r="C8" s="47" t="str">
        <x:v>Nepal Property Data and Area Conversion</x:v>
      </x:c>
      <x:c r="D8" s="47" t="str">
        <x:v>Prevent cross-tenant access in Nepal Property Data and Area Conversion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Nepal Property Data and Area Conversion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Property form fixture for hill units, Terai units, square feet and square metres; known conversion values and NPR prices.</x:v>
      </x:c>
      <x:c r="L8" s="47" t="str">
        <x:v>Ropani/Aana/Paisa/Daam; Bigha/Kattha/Dhur; sqft/sqm; province/district/municipality/ward/tole; road, facing, mohada/pichhad, utilities.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Property form fixture for hill units, Terai units, square feet and square metres; known conversion values and NPR prices.
2. Sign in/use role: Agency A authenticated user and Agency B fixture.
3. Navigate to /properties/add steps, property details/edit, public property detail/filtering and capture the initial UI/API/database state.
4. Execute: Substitute Agency B object IDs, related IDs, slugs, files and filter parameters into every Agency A list/detail/create/update/delete/action request.
5. Inspect the network request/response against: POST/PATCH /api/properties/; GET /api/properties/filter-options/; GET public property list/detail/filter-options.
6. Refresh/re-query the feature and related modules: Property serializer/model conversion helpers, filtering, public payload, localization/price formatting.
7. Verify affected models (Property canonical_area_sqft and structured Nepal fields)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Property serializer/model conversion helpers, filtering, public payload, localization/price formatting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NPD-005</x:v>
      </x:c>
      <x:c r="B9" s="47" t="str">
        <x:v>Nepal Property Data and Area Conversion</x:v>
      </x:c>
      <x:c r="C9" s="47" t="str">
        <x:v>Nepal Property Data and Area Conversion</x:v>
      </x:c>
      <x:c r="D9" s="47" t="str">
        <x:v>Verify Nepal Property Data and Area Conversion list, search and filter scoping</x:v>
      </x:c>
      <x:c r="E9" s="47" t="str">
        <x:v>Area range filtering uses canonical_area_sqft so equivalent units match consistently.</x:v>
      </x:c>
      <x:c r="F9" s="47" t="str">
        <x:v>Verify Nepal Property Data and Area Conversion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Property form fixture for hill units, Terai units, square feet and square metres; known conversion values and NPR prices.</x:v>
      </x:c>
      <x:c r="L9" s="47" t="str">
        <x:v>Ropani/Aana/Paisa/Daam; Bigha/Kattha/Dhur; sqft/sqm; province/district/municipality/ward/tole; road, facing, mohada/pichhad, utilities.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Property form fixture for hill units, Terai units, square feet and square metres; known conversion values and NPR prices.
2. Sign in/use role: Agency Owner.
3. Navigate to /properties/add steps, property details/edit, public property detail/filtering and capture the initial UI/API/database state.
4. Execute: Area range filtering uses canonical_area_sqft so equivalent units match consistently.
5. Inspect the network request/response against: POST/PATCH /api/properties/; GET /api/properties/filter-options/; GET public property list/detail/filter-options.
6. Refresh/re-query the feature and related modules: Property serializer/model conversion helpers, filtering, public payload, localization/price formatting.
7. Verify affected models (Property canonical_area_sqft and structured Nepal fields)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Property serializer/model conversion helpers, filtering, public payload, localization/price formatting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NPD-006</x:v>
      </x:c>
      <x:c r="B10" s="47" t="str">
        <x:v>Nepal Property Data and Area Conversion</x:v>
      </x:c>
      <x:c r="C10" s="47" t="str">
        <x:v>Nepal Property Data and Area Conversion</x:v>
      </x:c>
      <x:c r="D10" s="47" t="str">
        <x:v>Test duplicate submission and idempotency for Nepal Property Data and Area Conversion</x:v>
      </x:c>
      <x:c r="E10" s="47" t="str">
        <x:v>Double-click/submit identical requests sequentially and concurrently. Current rule: Unit conversion is deterministic; repeated serialization must not drift or mutate stored input values.</x:v>
      </x:c>
      <x:c r="F10" s="47" t="str">
        <x:v>Test duplicate submission and idempotency for Nepal Property Data and Area Conversion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Property form fixture for hill units, Terai units, square feet and square metres; known conversion values and NPR prices.</x:v>
      </x:c>
      <x:c r="L10" s="47" t="str">
        <x:v>Ropani/Aana/Paisa/Daam; Bigha/Kattha/Dhur; sqft/sqm; province/district/municipality/ward/tole; road, facing, mohada/pichhad, utilities.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Property form fixture for hill units, Terai units, square feet and square metres; known conversion values and NPR prices.
2. Sign in/use role: Agency Owner.
3. Navigate to /properties/add steps, property details/edit, public property detail/filtering and capture the initial UI/API/database state.
4. Execute: Double-click/submit identical requests sequentially and concurrently. Current rule: Unit conversion is deterministic; repeated serialization must not drift or mutate stored input values.
5. Inspect the network request/response against: POST/PATCH /api/properties/; GET /api/properties/filter-options/; GET public property list/detail/filter-options.
6. Refresh/re-query the feature and related modules: Property serializer/model conversion helpers, filtering, public payload, localization/price formatting.
7. Verify affected models (Property canonical_area_sqft and structured Nepal fields)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Property serializer/model conversion helpers, filtering, public payload, localization/price formatting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NPD-007</x:v>
      </x:c>
      <x:c r="B11" s="47" t="str">
        <x:v>Nepal Property Data and Area Conversion</x:v>
      </x:c>
      <x:c r="C11" s="47" t="str">
        <x:v>Nepal Property Data and Area Conversion</x:v>
      </x:c>
      <x:c r="D11" s="47" t="str">
        <x:v>Verify deletion and dependency behavior for Nepal Property Data and Area Conversion</x:v>
      </x:c>
      <x:c r="E11" s="47" t="str">
        <x:v>Delete an unreferenced record, a referenced record, a foreign-tenant record, and an already-deleted ID. Current rule: Deleting the property removes the structured fields with the Property row; no separate geography catalog currently exists.</x:v>
      </x:c>
      <x:c r="F11" s="47" t="str">
        <x:v>Verify deletion and dependency behavior for Nepal Property Data and Area Conversion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Property form fixture for hill units, Terai units, square feet and square metres; known conversion values and NPR prices.</x:v>
      </x:c>
      <x:c r="L11" s="47" t="str">
        <x:v>Ropani/Aana/Paisa/Daam; Bigha/Kattha/Dhur; sqft/sqm; province/district/municipality/ward/tole; road, facing, mohada/pichhad, utilities.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Property form fixture for hill units, Terai units, square feet and square metres; known conversion values and NPR prices.
2. Sign in/use role: Agency Owner or Agency Manager.
3. Navigate to /properties/add steps, property details/edit, public property detail/filtering and capture the initial UI/API/database state.
4. Execute: Delete an unreferenced record, a referenced record, a foreign-tenant record, and an already-deleted ID. Current rule: Deleting the property removes the structured fields with the Property row; no separate geography catalog currently exists.
5. Inspect the network request/response against: POST/PATCH /api/properties/; GET /api/properties/filter-options/; GET public property list/detail/filter-options.
6. Refresh/re-query the feature and related modules: Property serializer/model conversion helpers, filtering, public payload, localization/price formatting.
7. Verify affected models (Property canonical_area_sqft and structured Nepal fields)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Property serializer/model conversion helpers, filtering, public payload, localization/price formatting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NPD-008</x:v>
      </x:c>
      <x:c r="B12" s="47" t="str">
        <x:v>Nepal Property Data and Area Conversion</x:v>
      </x:c>
      <x:c r="C12" s="47" t="str">
        <x:v>Nepal Property Data and Area Conversion</x:v>
      </x:c>
      <x:c r="D12" s="47" t="str">
        <x:v>Recover cleanly from API/network failure during Nepal Property Data and Area Conversion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Nepal Property Data and Area Conversion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Property form fixture for hill units, Terai units, square feet and square metres; known conversion values and NPR prices.</x:v>
      </x:c>
      <x:c r="L12" s="47" t="str">
        <x:v>Ropani/Aana/Paisa/Daam; Bigha/Kattha/Dhur; sqft/sqm; province/district/municipality/ward/tole; road, facing, mohada/pichhad, utilities.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Property form fixture for hill units, Terai units, square feet and square metres; known conversion values and NPR prices.
2. Sign in/use role: Agency Owner.
3. Navigate to /properties/add steps, property details/edit, public property detail/filtering and capture the initial UI/API/database state.
4. Execute: Simulate timeout, offline browser, 500 response, expired access token and failed refresh while submitting the primary workflow.
5. Inspect the network request/response against: POST/PATCH /api/properties/; GET /api/properties/filter-options/; GET public property list/detail/filter-options.
6. Refresh/re-query the feature and related modules: Property serializer/model conversion helpers, filtering, public payload, localization/price formatting.
7. Verify affected models (Property canonical_area_sqft and structured Nepal fields)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Property serializer/model conversion helpers, filtering, public payload, localization/price formatting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NPD-009</x:v>
      </x:c>
      <x:c r="B13" s="47" t="str">
        <x:v>Nepal Property Data and Area Conversion</x:v>
      </x:c>
      <x:c r="C13" s="47" t="str">
        <x:v>Nepal Property Data and Area Conversion</x:v>
      </x:c>
      <x:c r="D13" s="47" t="str">
        <x:v>Hill unit conversion exactness</x:v>
      </x:c>
      <x:c r="E13" s="47" t="str">
        <x:v>Enter 1 ropani, 16 aana, 64 paisa, and 256 daam in separate otherwise-identical properties.</x:v>
      </x:c>
      <x:c r="F13" s="47" t="str">
        <x:v>Hill unit conversion exactness</x:v>
      </x:c>
      <x:c r="G13" s="47" t="str">
        <x:v>Boundary</x:v>
      </x:c>
      <x:c r="H13" s="53" t="str">
        <x:v>P0</x:v>
      </x:c>
      <x:c r="I13" s="53" t="str">
        <x:v>Critical</x:v>
      </x:c>
      <x:c r="J13" s="47" t="str">
        <x:v>Agency Manager</x:v>
      </x:c>
      <x:c r="K13" s="47" t="str">
        <x:v>Property form fixture for hill units, Terai units, square feet and square metres; known conversion values and NPR prices.</x:v>
      </x:c>
      <x:c r="L13" s="47" t="str">
        <x:v>Ropani/Aana/Paisa/Daam; Bigha/Kattha/Dhur; sqft/sqm; province/district/municipality/ward/tole; road, facing, mohada/pichhad, utilities.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Property form fixture for hill units, Terai units, square feet and square metres; known conversion values and NPR prices.
2. Sign in/use role: Agency Manager.
3. Navigate to /properties/add steps, property details/edit, public property detail/filtering and capture the initial UI/API/database state.
4. Execute: Enter 1 ropani, 16 aana, 64 paisa, and 256 daam in separate otherwise-identical properties.
5. Inspect the network request/response against: POST/PATCH /api/properties/; GET /api/properties/filter-options/; GET public property list/detail/filter-options.
6. Refresh/re-query the feature and related modules: Property serializer/model conversion helpers, filtering, public payload, localization/price formatting.
7. Verify affected models (Property canonical_area_sqft and structured Nepal fields) and all listed side effects.</x:v>
      </x:c>
      <x:c r="O13" s="47" t="str">
        <x:v>Each representation produces the same canonical square-foot area within Decimal precision.</x:v>
      </x:c>
      <x:c r="P13" s="47" t="str">
        <x:v>Each Property stores its selected area input and equivalent canonical_area_sqft.</x:v>
      </x:c>
      <x:c r="Q13" s="47" t="str">
        <x:v>Create responses expose consistent area_conversions.</x:v>
      </x:c>
      <x:c r="R13" s="47" t="str">
        <x:v>Details show equivalent values without binary floating-point artifacts.</x:v>
      </x:c>
      <x:c r="S13" s="47" t="str">
        <x:v>Price per aana/sqft values reconcile.</x:v>
      </x:c>
      <x:c r="T13" s="47" t="str">
        <x:v>Property serializer/model conversion helpers, filtering, public payload, localization/price formatting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NPD-010</x:v>
      </x:c>
      <x:c r="B14" s="47" t="str">
        <x:v>Nepal Property Data and Area Conversion</x:v>
      </x:c>
      <x:c r="C14" s="47" t="str">
        <x:v>Nepal Property Data and Area Conversion</x:v>
      </x:c>
      <x:c r="D14" s="47" t="str">
        <x:v>Terai unit conversion exactness</x:v>
      </x:c>
      <x:c r="E14" s="47" t="str">
        <x:v>Compare 1 bigha, 20 kattha, and 400 dhur.</x:v>
      </x:c>
      <x:c r="F14" s="47" t="str">
        <x:v>Terai unit conversion exactness</x:v>
      </x:c>
      <x:c r="G14" s="47" t="str">
        <x:v>Boundary</x:v>
      </x:c>
      <x:c r="H14" s="53" t="str">
        <x:v>P0</x:v>
      </x:c>
      <x:c r="I14" s="53" t="str">
        <x:v>Critical</x:v>
      </x:c>
      <x:c r="J14" s="47" t="str">
        <x:v>Agency Manager</x:v>
      </x:c>
      <x:c r="K14" s="47" t="str">
        <x:v>Property form fixture for hill units, Terai units, square feet and square metres; known conversion values and NPR prices.</x:v>
      </x:c>
      <x:c r="L14" s="47" t="str">
        <x:v>Ropani/Aana/Paisa/Daam; Bigha/Kattha/Dhur; sqft/sqm; province/district/municipality/ward/tole; road, facing, mohada/pichhad, utilities.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Property form fixture for hill units, Terai units, square feet and square metres; known conversion values and NPR prices.
2. Sign in/use role: Agency Manager.
3. Navigate to /properties/add steps, property details/edit, public property detail/filtering and capture the initial UI/API/database state.
4. Execute: Compare 1 bigha, 20 kattha, and 400 dhur.
5. Inspect the network request/response against: POST/PATCH /api/properties/; GET /api/properties/filter-options/; GET public property list/detail/filter-options.
6. Refresh/re-query the feature and related modules: Property serializer/model conversion helpers, filtering, public payload, localization/price formatting.
7. Verify affected models (Property canonical_area_sqft and structured Nepal fields) and all listed side effects.</x:v>
      </x:c>
      <x:c r="O14" s="47" t="str">
        <x:v>All canonical areas are equivalent according to the implementation conversion constants.</x:v>
      </x:c>
      <x:c r="P14" s="47" t="str">
        <x:v>No conversion drift on save/reload.</x:v>
      </x:c>
      <x:c r="Q14" s="47" t="str">
        <x:v>API responses expose matching conversions.</x:v>
      </x:c>
      <x:c r="R14" s="47" t="str">
        <x:v>Unit selector and summary show correct Terai units.</x:v>
      </x:c>
      <x:c r="S14" s="47" t="str">
        <x:v>Portal CSV and brochures use the same values.</x:v>
      </x:c>
      <x:c r="T14" s="47" t="str">
        <x:v>Property serializer/model conversion helpers, filtering, public payload, localization/price formatting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NPD-011</x:v>
      </x:c>
      <x:c r="B15" s="47" t="str">
        <x:v>Nepal Property Data and Area Conversion</x:v>
      </x:c>
      <x:c r="C15" s="47" t="str">
        <x:v>Nepal Property Data and Area Conversion</x:v>
      </x:c>
      <x:c r="D15" s="47" t="str">
        <x:v>Square-metre and square-foot area filter equivalence</x:v>
      </x:c>
      <x:c r="E15" s="47" t="str">
        <x:v>Create equal sqft and sqm properties, then filter around the canonical boundary.</x:v>
      </x:c>
      <x:c r="F15" s="47" t="str">
        <x:v>Square-metre and square-foot area filter equivalence</x:v>
      </x:c>
      <x:c r="G15" s="47" t="str">
        <x:v>Integration</x:v>
      </x:c>
      <x:c r="H15" s="53" t="str">
        <x:v>P1</x:v>
      </x:c>
      <x:c r="I15" s="53" t="str">
        <x:v>High</x:v>
      </x:c>
      <x:c r="J15" s="47" t="str">
        <x:v>Agency user/Public visitor</x:v>
      </x:c>
      <x:c r="K15" s="47" t="str">
        <x:v>Property form fixture for hill units, Terai units, square feet and square metres; known conversion values and NPR prices.</x:v>
      </x:c>
      <x:c r="L15" s="47" t="str">
        <x:v>Ropani/Aana/Paisa/Daam; Bigha/Kattha/Dhur; sqft/sqm; province/district/municipality/ward/tole; road, facing, mohada/pichhad, utilities.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Property form fixture for hill units, Terai units, square feet and square metres; known conversion values and NPR prices.
2. Sign in/use role: Agency user/Public visitor.
3. Navigate to /properties/add steps, property details/edit, public property detail/filtering and capture the initial UI/API/database state.
4. Execute: Create equal sqft and sqm properties, then filter around the canonical boundary.
5. Inspect the network request/response against: POST/PATCH /api/properties/; GET /api/properties/filter-options/; GET public property list/detail/filter-options.
6. Refresh/re-query the feature and related modules: Property serializer/model conversion helpers, filtering, public payload, localization/price formatting.
7. Verify affected models (Property canonical_area_sqft and structured Nepal fields) and all listed side effects.</x:v>
      </x:c>
      <x:c r="O15" s="47" t="str">
        <x:v>Both appear or disappear together at equivalent min/max bounds.</x:v>
      </x:c>
      <x:c r="P15" s="47" t="str">
        <x:v>No rows change during filtering.</x:v>
      </x:c>
      <x:c r="Q15" s="47" t="str">
        <x:v>Authenticated/public list endpoints return consistent matches.</x:v>
      </x:c>
      <x:c r="R15" s="47" t="str">
        <x:v>Result count and displayed units remain correct.</x:v>
      </x:c>
      <x:c r="S15" s="47" t="str">
        <x:v>Matching and reports use the same canonical area.</x:v>
      </x:c>
      <x:c r="T15" s="47" t="str">
        <x:v>Property serializer/model conversion helpers, filtering, public payload, localization/price formatting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NPD-012</x:v>
      </x:c>
      <x:c r="B16" s="48" t="str">
        <x:v>Nepal Property Data and Area Conversion</x:v>
      </x:c>
      <x:c r="C16" s="48" t="str">
        <x:v>Nepal Property Data and Area Conversion</x:v>
      </x:c>
      <x:c r="D16" s="48" t="str">
        <x:v>Zero and negative measurements fail safely</x:v>
      </x:c>
      <x:c r="E16" s="48" t="str">
        <x:v>Submit zero/negative area, road width, mohada, pichhad, or major-road distance values.</x:v>
      </x:c>
      <x:c r="F16" s="48" t="str">
        <x:v>Zero and negative measurements fail safely</x:v>
      </x:c>
      <x:c r="G16" s="48" t="str">
        <x:v>Validation</x:v>
      </x:c>
      <x:c r="H16" s="54" t="str">
        <x:v>P0</x:v>
      </x:c>
      <x:c r="I16" s="54" t="str">
        <x:v>Critical</x:v>
      </x:c>
      <x:c r="J16" s="48" t="str">
        <x:v>Agency user</x:v>
      </x:c>
      <x:c r="K16" s="48" t="str">
        <x:v>Property form fixture for hill units, Terai units, square feet and square metres; known conversion values and NPR prices.</x:v>
      </x:c>
      <x:c r="L16" s="48" t="str">
        <x:v>Ropani/Aana/Paisa/Daam; Bigha/Kattha/Dhur; sqft/sqm; province/district/municipality/ward/tole; road, facing, mohada/pichhad, utilities.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Property form fixture for hill units, Terai units, square feet and square metres; known conversion values and NPR prices.
2. Sign in/use role: Agency user.
3. Navigate to /properties/add steps, property details/edit, public property detail/filtering and capture the initial UI/API/database state.
4. Execute: Submit zero/negative area, road width, mohada, pichhad, or major-road distance values.
5. Inspect the network request/response against: POST/PATCH /api/properties/; GET /api/properties/filter-options/; GET public property list/detail/filter-options.
6. Refresh/re-query the feature and related modules: Property serializer/model conversion helpers, filtering, public payload, localization/price formatting.
7. Verify affected models (Property canonical_area_sqft and structured Nepal fields) and all listed side effects.</x:v>
      </x:c>
      <x:c r="O16" s="48" t="str">
        <x:v>Invalid values are rejected where validators apply; zero area never produces divide-by-zero output.</x:v>
      </x:c>
      <x:c r="P16" s="48" t="str">
        <x:v>No invalid property is committed; failed update leaves the old values.</x:v>
      </x:c>
      <x:c r="Q16" s="48" t="str">
        <x:v>API returns 400 with field-level errors rather than 500.</x:v>
      </x:c>
      <x:c r="R16" s="48" t="str">
        <x:v>Form highlights the affected fields.</x:v>
      </x:c>
      <x:c r="S16" s="48" t="str">
        <x:v>No history, duplicate, or public changes from rejected data.</x:v>
      </x:c>
      <x:c r="T16" s="48" t="str">
        <x:v>Property serializer/model conversion helpers, filtering, public payload, localization/price formatting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32" priority="1">
      <x:formula>H5="P0"</x:formula>
    </x:cfRule>
    <x:cfRule type="expression" dxfId="33" priority="2">
      <x:formula>H5="P1"</x:formula>
    </x:cfRule>
    <x:cfRule type="expression" dxfId="34" priority="3">
      <x:formula>H5="P2"</x:formula>
    </x:cfRule>
    <x:cfRule type="expression" dxfId="35" priority="4">
      <x:formula>H5="P3"</x:formula>
    </x:cfRule>
  </x:conditionalFormatting>
  <x:conditionalFormatting sqref="W5:W16">
    <x:cfRule type="expression" dxfId="36" priority="5">
      <x:formula>W5="Passed"</x:formula>
    </x:cfRule>
    <x:cfRule type="expression" dxfId="37" priority="6">
      <x:formula>W5="Failed"</x:formula>
    </x:cfRule>
    <x:cfRule type="expression" dxfId="38" priority="7">
      <x:formula>W5="Blocked"</x:formula>
    </x:cfRule>
    <x:cfRule type="expression" dxfId="39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f933ea7aca4a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Property Media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11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MEDIA-001</x:v>
      </x:c>
      <x:c r="B5" s="46" t="str">
        <x:v>Property Media</x:v>
      </x:c>
      <x:c r="C5" s="46" t="str">
        <x:v>Property Media</x:v>
      </x:c>
      <x:c r="D5" s="46" t="str">
        <x:v>Complete the primary Property Media workflow</x:v>
      </x:c>
      <x:c r="E5" s="46" t="str">
        <x:v>Upload several images, set one primary, reorder, and remove a non-primary item.</x:v>
      </x:c>
      <x:c r="F5" s="46" t="str">
        <x:v>Complete the primary Property Media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Agency A/B properties; assigned/unassigned agents; valid image files and invalid/oversized/unsafe fixtures.</x:v>
      </x:c>
      <x:c r="L5" s="46" t="str">
        <x:v>JPEG/PNG/WebP as accepted; invalid MIME/extension; primary flag; sort order; cross-tenant property/media IDs.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Agency A/B properties; assigned/unassigned agents; valid image files and invalid/oversized/unsafe fixtures.
2. Sign in/use role: Agency Owner.
3. Navigate to Property add/edit media step and property details gallery and capture the initial UI/API/database state.
4. Execute: Upload several images, set one primary, reorder, and remove a non-primary item.
5. Inspect the network request/response against: GET/POST /api/properties/{property_id}/media/; GET/PATCH/DELETE /api/properties/media/{id}/.
6. Refresh/re-query the feature and related modules: File storage, property permissions, public gallery, distribution packages, Meta Instagram publishing.
7. Verify affected models (PropertyMedia, Property) and all listed side effects.</x:v>
      </x:c>
      <x:c r="O5" s="46" t="str">
        <x:v>Media is attached only to the target tenant property; setting a primary image clears any previous primary flag; gallery order is stable.</x:v>
      </x:c>
      <x:c r="P5" s="46" t="str">
        <x:v>PropertyMedia rows add/update/delete; other Property rows remain unchanged except primary normalization across sibling media.</x:v>
      </x:c>
      <x:c r="Q5" s="46" t="str">
        <x:v>Use the documented routes: GET/POST /api/properties/{property_id}/media/; GET/PATCH/DELETE /api/properties/media/{id}/. Successful create operations return 201, reads/updates/actions 200, and deletes 204 where provided; capture exact endpoint-specific response.</x:v>
      </x:c>
      <x:c r="R5" s="46" t="str">
        <x:v>Start at Property add/edit media step and property details gallery. The visible state must match the saved API response after refresh.</x:v>
      </x:c>
      <x:c r="S5" s="46" t="str">
        <x:v>Public gallery, social creative, media package, brochure/QR assets and property cards can change.</x:v>
      </x:c>
      <x:c r="T5" s="46" t="str">
        <x:v>File storage, property permissions, public gallery, distribution packages, Meta Instagram publishing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MEDIA-002</x:v>
      </x:c>
      <x:c r="B6" s="47" t="str">
        <x:v>Property Media</x:v>
      </x:c>
      <x:c r="C6" s="47" t="str">
        <x:v>Property Media</x:v>
      </x:c>
      <x:c r="D6" s="47" t="str">
        <x:v>Reject invalid or missing Property Media inputs</x:v>
      </x:c>
      <x:c r="E6" s="47" t="str">
        <x:v>Reject unauthenticated, cross-tenant, unassigned-agent, malformed, unsupported, or size-violating uploads according to configured validators/storage.</x:v>
      </x:c>
      <x:c r="F6" s="47" t="str">
        <x:v>Reject invalid or missing Property Media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Agency A/B properties; assigned/unassigned agents; valid image files and invalid/oversized/unsafe fixtures.</x:v>
      </x:c>
      <x:c r="L6" s="47" t="str">
        <x:v>JPEG/PNG/WebP as accepted; invalid MIME/extension; primary flag; sort order; cross-tenant property/media IDs.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Agency A/B properties; assigned/unassigned agents; valid image files and invalid/oversized/unsafe fixtures.
2. Sign in/use role: Agency Owner.
3. Navigate to Property add/edit media step and property details gallery and capture the initial UI/API/database state.
4. Execute: Reject unauthenticated, cross-tenant, unassigned-agent, malformed, unsupported, or size-violating uploads according to configured validators/storage.
5. Inspect the network request/response against: GET/POST /api/properties/{property_id}/media/; GET/PATCH/DELETE /api/properties/media/{id}/.
6. Refresh/re-query the feature and related modules: File storage, property permissions, public gallery, distribution packages, Meta Instagram publishing.
7. Verify affected models (PropertyMedia, Property)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File storage, property permissions, public gallery, distribution packages, Meta Instagram publishing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MEDIA-003</x:v>
      </x:c>
      <x:c r="B7" s="47" t="str">
        <x:v>Property Media</x:v>
      </x:c>
      <x:c r="C7" s="47" t="str">
        <x:v>Property Media</x:v>
      </x:c>
      <x:c r="D7" s="47" t="str">
        <x:v>Enforce Property Media role permissions</x:v>
      </x:c>
      <x:c r="E7" s="47" t="str">
        <x:v>Authenticated tenant users can list; mutation follows property assignment rules; another agency cannot view or mutate media.</x:v>
      </x:c>
      <x:c r="F7" s="47" t="str">
        <x:v>Enforce Property Media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Agency A/B properties; assigned/unassigned agents; valid image files and invalid/oversized/unsafe fixtures.</x:v>
      </x:c>
      <x:c r="L7" s="47" t="str">
        <x:v>JPEG/PNG/WebP as accepted; invalid MIME/extension; primary flag; sort order; cross-tenant property/media IDs.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Agency A/B properties; assigned/unassigned agents; valid image files and invalid/oversized/unsafe fixtures.
2. Sign in/use role: Exercise every listed role plus an unauthenticated caller.
3. Navigate to Property add/edit media step and property details gallery and capture the initial UI/API/database state.
4. Execute: Authenticated tenant users can list; mutation follows property assignment rules; another agency cannot view or mutate media.
5. Inspect the network request/response against: GET/POST /api/properties/{property_id}/media/; GET/PATCH/DELETE /api/properties/media/{id}/.
6. Refresh/re-query the feature and related modules: File storage, property permissions, public gallery, distribution packages, Meta Instagram publishing.
7. Verify affected models (PropertyMedia, Property)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File storage, property permissions, public gallery, distribution packages, Meta Instagram publishing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MEDIA-004</x:v>
      </x:c>
      <x:c r="B8" s="47" t="str">
        <x:v>Property Media</x:v>
      </x:c>
      <x:c r="C8" s="47" t="str">
        <x:v>Property Media</x:v>
      </x:c>
      <x:c r="D8" s="47" t="str">
        <x:v>Prevent cross-tenant access in Property Media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Property Media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Agency A/B properties; assigned/unassigned agents; valid image files and invalid/oversized/unsafe fixtures.</x:v>
      </x:c>
      <x:c r="L8" s="47" t="str">
        <x:v>JPEG/PNG/WebP as accepted; invalid MIME/extension; primary flag; sort order; cross-tenant property/media IDs.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Agency A/B properties; assigned/unassigned agents; valid image files and invalid/oversized/unsafe fixtures.
2. Sign in/use role: Agency A authenticated user and Agency B fixture.
3. Navigate to Property add/edit media step and property details gallery and capture the initial UI/API/database state.
4. Execute: Substitute Agency B object IDs, related IDs, slugs, files and filter parameters into every Agency A list/detail/create/update/delete/action request.
5. Inspect the network request/response against: GET/POST /api/properties/{property_id}/media/; GET/PATCH/DELETE /api/properties/media/{id}/.
6. Refresh/re-query the feature and related modules: File storage, property permissions, public gallery, distribution packages, Meta Instagram publishing.
7. Verify affected models (PropertyMedia, Property)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File storage, property permissions, public gallery, distribution packages, Meta Instagram publishing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MEDIA-005</x:v>
      </x:c>
      <x:c r="B9" s="47" t="str">
        <x:v>Property Media</x:v>
      </x:c>
      <x:c r="C9" s="47" t="str">
        <x:v>Property Media</x:v>
      </x:c>
      <x:c r="D9" s="47" t="str">
        <x:v>Verify Property Media list, search and filter scoping</x:v>
      </x:c>
      <x:c r="E9" s="47" t="str">
        <x:v>List media by property in stored ordering; public serializers expose only media for publicly eligible properties.</x:v>
      </x:c>
      <x:c r="F9" s="47" t="str">
        <x:v>Verify Property Media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Agency A/B properties; assigned/unassigned agents; valid image files and invalid/oversized/unsafe fixtures.</x:v>
      </x:c>
      <x:c r="L9" s="47" t="str">
        <x:v>JPEG/PNG/WebP as accepted; invalid MIME/extension; primary flag; sort order; cross-tenant property/media IDs.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Agency A/B properties; assigned/unassigned agents; valid image files and invalid/oversized/unsafe fixtures.
2. Sign in/use role: Agency Owner.
3. Navigate to Property add/edit media step and property details gallery and capture the initial UI/API/database state.
4. Execute: List media by property in stored ordering; public serializers expose only media for publicly eligible properties.
5. Inspect the network request/response against: GET/POST /api/properties/{property_id}/media/; GET/PATCH/DELETE /api/properties/media/{id}/.
6. Refresh/re-query the feature and related modules: File storage, property permissions, public gallery, distribution packages, Meta Instagram publishing.
7. Verify affected models (PropertyMedia, Property)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File storage, property permissions, public gallery, distribution packages, Meta Instagram publishing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MEDIA-006</x:v>
      </x:c>
      <x:c r="B10" s="47" t="str">
        <x:v>Property Media</x:v>
      </x:c>
      <x:c r="C10" s="47" t="str">
        <x:v>Property Media</x:v>
      </x:c>
      <x:c r="D10" s="47" t="str">
        <x:v>Test duplicate submission and idempotency for Property Media</x:v>
      </x:c>
      <x:c r="E10" s="47" t="str">
        <x:v>Double-click/submit identical requests sequentially and concurrently. Current rule: Repeated upload creates separate media because no idempotency key/hash deduplication is evident; document this current behavior.</x:v>
      </x:c>
      <x:c r="F10" s="47" t="str">
        <x:v>Test duplicate submission and idempotency for Property Media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Agency A/B properties; assigned/unassigned agents; valid image files and invalid/oversized/unsafe fixtures.</x:v>
      </x:c>
      <x:c r="L10" s="47" t="str">
        <x:v>JPEG/PNG/WebP as accepted; invalid MIME/extension; primary flag; sort order; cross-tenant property/media IDs.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Agency A/B properties; assigned/unassigned agents; valid image files and invalid/oversized/unsafe fixtures.
2. Sign in/use role: Agency Owner.
3. Navigate to Property add/edit media step and property details gallery and capture the initial UI/API/database state.
4. Execute: Double-click/submit identical requests sequentially and concurrently. Current rule: Repeated upload creates separate media because no idempotency key/hash deduplication is evident; document this current behavior.
5. Inspect the network request/response against: GET/POST /api/properties/{property_id}/media/; GET/PATCH/DELETE /api/properties/media/{id}/.
6. Refresh/re-query the feature and related modules: File storage, property permissions, public gallery, distribution packages, Meta Instagram publishing.
7. Verify affected models (PropertyMedia, Property)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File storage, property permissions, public gallery, distribution packages, Meta Instagram publishing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MEDIA-007</x:v>
      </x:c>
      <x:c r="B11" s="47" t="str">
        <x:v>Property Media</x:v>
      </x:c>
      <x:c r="C11" s="47" t="str">
        <x:v>Property Media</x:v>
      </x:c>
      <x:c r="D11" s="47" t="str">
        <x:v>Verify deletion and dependency behavior for Property Media</x:v>
      </x:c>
      <x:c r="E11" s="47" t="str">
        <x:v>Delete an unreferenced record, a referenced record, a foreign-tenant record, and an already-deleted ID. Current rule: Delete removes the PropertyMedia row and storage object according to configured FileField storage; deleting primary may leave no primary unless replacement logic exists.</x:v>
      </x:c>
      <x:c r="F11" s="47" t="str">
        <x:v>Verify deletion and dependency behavior for Property Media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Agency A/B properties; assigned/unassigned agents; valid image files and invalid/oversized/unsafe fixtures.</x:v>
      </x:c>
      <x:c r="L11" s="47" t="str">
        <x:v>JPEG/PNG/WebP as accepted; invalid MIME/extension; primary flag; sort order; cross-tenant property/media IDs.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Agency A/B properties; assigned/unassigned agents; valid image files and invalid/oversized/unsafe fixtures.
2. Sign in/use role: Agency Owner or Agency Manager.
3. Navigate to Property add/edit media step and property details gallery and capture the initial UI/API/database state.
4. Execute: Delete an unreferenced record, a referenced record, a foreign-tenant record, and an already-deleted ID. Current rule: Delete removes the PropertyMedia row and storage object according to configured FileField storage; deleting primary may leave no primary unless replacement logic exists.
5. Inspect the network request/response against: GET/POST /api/properties/{property_id}/media/; GET/PATCH/DELETE /api/properties/media/{id}/.
6. Refresh/re-query the feature and related modules: File storage, property permissions, public gallery, distribution packages, Meta Instagram publishing.
7. Verify affected models (PropertyMedia, Property)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File storage, property permissions, public gallery, distribution packages, Meta Instagram publishing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MEDIA-008</x:v>
      </x:c>
      <x:c r="B12" s="47" t="str">
        <x:v>Property Media</x:v>
      </x:c>
      <x:c r="C12" s="47" t="str">
        <x:v>Property Media</x:v>
      </x:c>
      <x:c r="D12" s="47" t="str">
        <x:v>Recover cleanly from API/network failure during Property Media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Property Media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Agency A/B properties; assigned/unassigned agents; valid image files and invalid/oversized/unsafe fixtures.</x:v>
      </x:c>
      <x:c r="L12" s="47" t="str">
        <x:v>JPEG/PNG/WebP as accepted; invalid MIME/extension; primary flag; sort order; cross-tenant property/media IDs.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Agency A/B properties; assigned/unassigned agents; valid image files and invalid/oversized/unsafe fixtures.
2. Sign in/use role: Agency Owner.
3. Navigate to Property add/edit media step and property details gallery and capture the initial UI/API/database state.
4. Execute: Simulate timeout, offline browser, 500 response, expired access token and failed refresh while submitting the primary workflow.
5. Inspect the network request/response against: GET/POST /api/properties/{property_id}/media/; GET/PATCH/DELETE /api/properties/media/{id}/.
6. Refresh/re-query the feature and related modules: File storage, property permissions, public gallery, distribution packages, Meta Instagram publishing.
7. Verify affected models (PropertyMedia, Property)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File storage, property permissions, public gallery, distribution packages, Meta Instagram publishing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MEDIA-009</x:v>
      </x:c>
      <x:c r="B13" s="47" t="str">
        <x:v>Property Media</x:v>
      </x:c>
      <x:c r="C13" s="47" t="str">
        <x:v>Property Media</x:v>
      </x:c>
      <x:c r="D13" s="47" t="str">
        <x:v>Only one primary media item remains</x:v>
      </x:c>
      <x:c r="E13" s="47" t="str">
        <x:v>Mark image A primary, then mark image B primary for the same property.</x:v>
      </x:c>
      <x:c r="F13" s="47" t="str">
        <x:v>Only one primary media item remains</x:v>
      </x:c>
      <x:c r="G13" s="47" t="str">
        <x:v>Database</x:v>
      </x:c>
      <x:c r="H13" s="53" t="str">
        <x:v>P0</x:v>
      </x:c>
      <x:c r="I13" s="53" t="str">
        <x:v>Critical</x:v>
      </x:c>
      <x:c r="J13" s="47" t="str">
        <x:v>Agency Manager</x:v>
      </x:c>
      <x:c r="K13" s="47" t="str">
        <x:v>Agency A/B properties; assigned/unassigned agents; valid image files and invalid/oversized/unsafe fixtures.</x:v>
      </x:c>
      <x:c r="L13" s="47" t="str">
        <x:v>JPEG/PNG/WebP as accepted; invalid MIME/extension; primary flag; sort order; cross-tenant property/media IDs.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Agency A/B properties; assigned/unassigned agents; valid image files and invalid/oversized/unsafe fixtures.
2. Sign in/use role: Agency Manager.
3. Navigate to Property add/edit media step and property details gallery and capture the initial UI/API/database state.
4. Execute: Mark image A primary, then mark image B primary for the same property.
5. Inspect the network request/response against: GET/POST /api/properties/{property_id}/media/; GET/PATCH/DELETE /api/properties/media/{id}/.
6. Refresh/re-query the feature and related modules: File storage, property permissions, public gallery, distribution packages, Meta Instagram publishing.
7. Verify affected models (PropertyMedia, Property) and all listed side effects.</x:v>
      </x:c>
      <x:c r="O13" s="47" t="str">
        <x:v>B is primary and A is atomically unset; no second primary remains.</x:v>
      </x:c>
      <x:c r="P13" s="47" t="str">
        <x:v>Exactly one PropertyMedia row has is_primary=true for the property.</x:v>
      </x:c>
      <x:c r="Q13" s="47" t="str">
        <x:v>PATCH media B returns 200 and a subsequent list reflects normalization.</x:v>
      </x:c>
      <x:c r="R13" s="47" t="str">
        <x:v>Gallery hero switches to B.</x:v>
      </x:c>
      <x:c r="S13" s="47" t="str">
        <x:v>Distribution toolkit chooses B for generated assets.</x:v>
      </x:c>
      <x:c r="T13" s="47" t="str">
        <x:v>File storage, property permissions, public gallery, distribution packages, Meta Instagram publishing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MEDIA-010</x:v>
      </x:c>
      <x:c r="B14" s="47" t="str">
        <x:v>Property Media</x:v>
      </x:c>
      <x:c r="C14" s="47" t="str">
        <x:v>Property Media</x:v>
      </x:c>
      <x:c r="D14" s="47" t="str">
        <x:v>Cross-tenant media upload is blocked</x:v>
      </x:c>
      <x:c r="E14" s="47" t="str">
        <x:v>POST a file to Agency B property_id and try GET/DELETE its media ID.</x:v>
      </x:c>
      <x:c r="F14" s="47" t="str">
        <x:v>Cross-tenant media upload is blocked</x:v>
      </x:c>
      <x:c r="G14" s="47" t="str">
        <x:v>Security</x:v>
      </x:c>
      <x:c r="H14" s="53" t="str">
        <x:v>P0</x:v>
      </x:c>
      <x:c r="I14" s="53" t="str">
        <x:v>Critical</x:v>
      </x:c>
      <x:c r="J14" s="47" t="str">
        <x:v>Agency user A</x:v>
      </x:c>
      <x:c r="K14" s="47" t="str">
        <x:v>Agency A/B properties; assigned/unassigned agents; valid image files and invalid/oversized/unsafe fixtures.</x:v>
      </x:c>
      <x:c r="L14" s="47" t="str">
        <x:v>JPEG/PNG/WebP as accepted; invalid MIME/extension; primary flag; sort order; cross-tenant property/media IDs.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Agency A/B properties; assigned/unassigned agents; valid image files and invalid/oversized/unsafe fixtures.
2. Sign in/use role: Agency user A.
3. Navigate to Property add/edit media step and property details gallery and capture the initial UI/API/database state.
4. Execute: POST a file to Agency B property_id and try GET/DELETE its media ID.
5. Inspect the network request/response against: GET/POST /api/properties/{property_id}/media/; GET/PATCH/DELETE /api/properties/media/{id}/.
6. Refresh/re-query the feature and related modules: File storage, property permissions, public gallery, distribution packages, Meta Instagram publishing.
7. Verify affected models (PropertyMedia, Property) and all listed side effects.</x:v>
      </x:c>
      <x:c r="O14" s="47" t="str">
        <x:v>All cross-tenant access fails without revealing B's media metadata.</x:v>
      </x:c>
      <x:c r="P14" s="47" t="str">
        <x:v>No B records/files change and no A record is created.</x:v>
      </x:c>
      <x:c r="Q14" s="47" t="str">
        <x:v>Detail operations return scoped 404/permission denial; upload is rejected.</x:v>
      </x:c>
      <x:c r="R14" s="47" t="str">
        <x:v>UI cannot discover or display B's media.</x:v>
      </x:c>
      <x:c r="S14" s="47" t="str">
        <x:v>No generated asset cache should be affected.</x:v>
      </x:c>
      <x:c r="T14" s="47" t="str">
        <x:v>File storage, property permissions, public gallery, distribution packages, Meta Instagram publishing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1" t="str">
        <x:v>MEDIA-011</x:v>
      </x:c>
      <x:c r="B15" s="48" t="str">
        <x:v>Property Media</x:v>
      </x:c>
      <x:c r="C15" s="48" t="str">
        <x:v>Property Media</x:v>
      </x:c>
      <x:c r="D15" s="48" t="str">
        <x:v>Unsafe or unsupported upload fails safely</x:v>
      </x:c>
      <x:c r="E15" s="48" t="str">
        <x:v>Upload executable/polyglot/oversized content with misleading image extension.</x:v>
      </x:c>
      <x:c r="F15" s="48" t="str">
        <x:v>Unsafe or unsupported upload fails safely</x:v>
      </x:c>
      <x:c r="G15" s="48" t="str">
        <x:v>Security</x:v>
      </x:c>
      <x:c r="H15" s="54" t="str">
        <x:v>P0</x:v>
      </x:c>
      <x:c r="I15" s="54" t="str">
        <x:v>Critical</x:v>
      </x:c>
      <x:c r="J15" s="48" t="str">
        <x:v>Agency user</x:v>
      </x:c>
      <x:c r="K15" s="48" t="str">
        <x:v>Agency A/B properties; assigned/unassigned agents; valid image files and invalid/oversized/unsafe fixtures.</x:v>
      </x:c>
      <x:c r="L15" s="48" t="str">
        <x:v>JPEG/PNG/WebP as accepted; invalid MIME/extension; primary flag; sort order; cross-tenant property/media IDs.</x:v>
      </x:c>
      <x:c r="M15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8" t="str">
        <x:v>1. Prepare: Agency A/B properties; assigned/unassigned agents; valid image files and invalid/oversized/unsafe fixtures.
2. Sign in/use role: Agency user.
3. Navigate to Property add/edit media step and property details gallery and capture the initial UI/API/database state.
4. Execute: Upload executable/polyglot/oversized content with misleading image extension.
5. Inspect the network request/response against: GET/POST /api/properties/{property_id}/media/; GET/PATCH/DELETE /api/properties/media/{id}/.
6. Refresh/re-query the feature and related modules: File storage, property permissions, public gallery, distribution packages, Meta Instagram publishing.
7. Verify affected models (PropertyMedia, Property) and all listed side effects.</x:v>
      </x:c>
      <x:c r="O15" s="48" t="str">
        <x:v>Application rejects invalid content where implemented and never renders it publicly; production virus scanning is not determined from current repo.</x:v>
      </x:c>
      <x:c r="P15" s="48" t="str">
        <x:v>No accepted PropertyMedia row for rejected file.</x:v>
      </x:c>
      <x:c r="Q15" s="48" t="str">
        <x:v>API returns 400/415 rather than 500. Virus-scan behavior requires clarification.</x:v>
      </x:c>
      <x:c r="R15" s="48" t="str">
        <x:v>Safe validation message; no broken preview.</x:v>
      </x:c>
      <x:c r="S15" s="48" t="str">
        <x:v>No social/distribution processing occurs.</x:v>
      </x:c>
      <x:c r="T15" s="48" t="str">
        <x:v>File storage, property permissions, public gallery, distribution packages, Meta Instagram publishing</x:v>
      </x:c>
      <x:c r="U15" s="48" t="str">
        <x:v>Restore mutated fixture state where required; retain evidence (request/response, screenshots, SQL counts and logs).</x:v>
      </x:c>
      <x:c r="V15" s="48" t="str"/>
      <x:c r="W15" s="54" t="str">
        <x:v>Not Run</x:v>
      </x:c>
      <x:c r="X15" s="54" t="str"/>
      <x:c r="Y15" s="54" t="str">
        <x:v>Yes</x:v>
      </x:c>
      <x:c r="Z15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5">
    <x:cfRule type="expression" dxfId="40" priority="1">
      <x:formula>H5="P0"</x:formula>
    </x:cfRule>
    <x:cfRule type="expression" dxfId="41" priority="2">
      <x:formula>H5="P1"</x:formula>
    </x:cfRule>
    <x:cfRule type="expression" dxfId="42" priority="3">
      <x:formula>H5="P2"</x:formula>
    </x:cfRule>
    <x:cfRule type="expression" dxfId="43" priority="4">
      <x:formula>H5="P3"</x:formula>
    </x:cfRule>
  </x:conditionalFormatting>
  <x:conditionalFormatting sqref="W5:W15">
    <x:cfRule type="expression" dxfId="44" priority="5">
      <x:formula>W5="Passed"</x:formula>
    </x:cfRule>
    <x:cfRule type="expression" dxfId="45" priority="6">
      <x:formula>W5="Failed"</x:formula>
    </x:cfRule>
    <x:cfRule type="expression" dxfId="46" priority="7">
      <x:formula>W5="Blocked"</x:formula>
    </x:cfRule>
    <x:cfRule type="expression" dxfId="47" priority="8">
      <x:formula>W5="Skipped"</x:formula>
    </x:cfRule>
  </x:conditionalFormatting>
  <x:dataValidations count="4">
    <x:dataValidation type="list" sqref="H5:H15">
      <x:formula1>"P0,P1,P2,P3"</x:formula1>
    </x:dataValidation>
    <x:dataValidation type="list" sqref="I5:I15">
      <x:formula1>"Critical,High,Medium,Low"</x:formula1>
    </x:dataValidation>
    <x:dataValidation type="list" sqref="W5:W15">
      <x:formula1>"Not Run,Passed,Failed,Blocked,Skipped"</x:formula1>
    </x:dataValidation>
    <x:dataValidation type="list" sqref="Y5:Y15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089c44b38f4d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Property Verification and Due Diligence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VER-001</x:v>
      </x:c>
      <x:c r="B5" s="46" t="str">
        <x:v>Property Verification and Due Diligence</x:v>
      </x:c>
      <x:c r="C5" s="46" t="str">
        <x:v>Property Verification and Due Diligence</x:v>
      </x:c>
      <x:c r="D5" s="46" t="str">
        <x:v>Complete the primary Property Verification and Due Diligence workflow</x:v>
      </x:c>
      <x:c r="E5" s="46" t="str">
        <x:v>Open verification, upload/check documents, progress sequential milestones, and mark fully verified only when prerequisites are satisfied.</x:v>
      </x:c>
      <x:c r="F5" s="46" t="str">
        <x:v>Complete the primary Property Verification and Due Diligence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Tenant property; users in each role; files/URLs for all ten document types; second-tenant property.</x:v>
      </x:c>
      <x:c r="L5" s="46" t="str">
        <x:v>Lalpurja, owner citizenship/company registration, Napi Naksa, Char Killa, Malpot receipt, tax clearance, building approval, completion certificate, POA, marketing authorization.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Tenant property; users in each role; files/URLs for all ten document types; second-tenant property.
2. Sign in/use role: Agency Owner.
3. Navigate to Property details verification panel and capture the initial UI/API/database state.
4. Execute: Open verification, upload/check documents, progress sequential milestones, and mark fully verified only when prerequisites are satisfied.
5. Inspect the network request/response against: GET/PATCH /api/properties/{id}/verification/; GET/PATCH/DELETE /api/properties/{id}/verification/documents/{document_type}/.
6. Refresh/re-query the feature and related modules: Property inventory, file storage, public property serializer, trust badge, audit/history.
7. Verify affected models (PropertyVerification, PropertyVerificationDocument, Property) and all listed side effects.</x:v>
      </x:c>
      <x:c r="O5" s="46" t="str">
        <x:v>Exactly ten checklist rows initialize; document statuses and ordered milestones persist; fully_verified guard prevents skipping required prior milestones.</x:v>
      </x:c>
      <x:c r="P5" s="46" t="str">
        <x:v>Verification root + fixed document rows initialize; document/milestone timestamps/reviewer fields update; no duplicate (verification, document_type).</x:v>
      </x:c>
      <x:c r="Q5" s="46" t="str">
        <x:v>Use the documented routes: GET/PATCH /api/properties/{id}/verification/; GET/PATCH/DELETE /api/properties/{id}/verification/documents/{document_type}/. Successful create operations return 201, reads/updates/actions 200, and deletes 204 where provided; capture exact endpoint-specific response.</x:v>
      </x:c>
      <x:c r="R5" s="46" t="str">
        <x:v>Start at Property details verification panel. The visible state must match the saved API response after refresh.</x:v>
      </x:c>
      <x:c r="S5" s="46" t="str">
        <x:v>Public trust summary/badge, manager review queue, distribution copy, property history may change.</x:v>
      </x:c>
      <x:c r="T5" s="46" t="str">
        <x:v>Property inventory, file storage, public property serializer, trust badge, audit/history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VER-002</x:v>
      </x:c>
      <x:c r="B6" s="47" t="str">
        <x:v>Property Verification and Due Diligence</x:v>
      </x:c>
      <x:c r="C6" s="47" t="str">
        <x:v>Property Verification and Due Diligence</x:v>
      </x:c>
      <x:c r="D6" s="47" t="str">
        <x:v>Reject invalid or missing Property Verification and Due Diligence inputs</x:v>
      </x:c>
      <x:c r="E6" s="47" t="str">
        <x:v>Reject unknown document_type, invalid status, fully-verified shortcut, cross-tenant file, and received/approved claims that violate serializer requirements.</x:v>
      </x:c>
      <x:c r="F6" s="47" t="str">
        <x:v>Reject invalid or missing Property Verification and Due Diligence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Tenant property; users in each role; files/URLs for all ten document types; second-tenant property.</x:v>
      </x:c>
      <x:c r="L6" s="47" t="str">
        <x:v>Lalpurja, owner citizenship/company registration, Napi Naksa, Char Killa, Malpot receipt, tax clearance, building approval, completion certificate, POA, marketing authorization.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Tenant property; users in each role; files/URLs for all ten document types; second-tenant property.
2. Sign in/use role: Agency Owner.
3. Navigate to Property details verification panel and capture the initial UI/API/database state.
4. Execute: Reject unknown document_type, invalid status, fully-verified shortcut, cross-tenant file, and received/approved claims that violate serializer requirements.
5. Inspect the network request/response against: GET/PATCH /api/properties/{id}/verification/; GET/PATCH/DELETE /api/properties/{id}/verification/documents/{document_type}/.
6. Refresh/re-query the feature and related modules: Property inventory, file storage, public property serializer, trust badge, audit/history.
7. Verify affected models (PropertyVerification, PropertyVerificationDocument, Property)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Property inventory, file storage, public property serializer, trust badge, audit/history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VER-003</x:v>
      </x:c>
      <x:c r="B7" s="47" t="str">
        <x:v>Property Verification and Due Diligence</x:v>
      </x:c>
      <x:c r="C7" s="47" t="str">
        <x:v>Property Verification and Due Diligence</x:v>
      </x:c>
      <x:c r="D7" s="47" t="str">
        <x:v>Enforce Property Verification and Due Diligence role permissions</x:v>
      </x:c>
      <x:c r="E7" s="47" t="str">
        <x:v>All access is tenant scoped; public gets summary/level only and never file URLs, identity numbers, reviewer notes, or private checklist payload.</x:v>
      </x:c>
      <x:c r="F7" s="47" t="str">
        <x:v>Enforce Property Verification and Due Diligence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Tenant property; users in each role; files/URLs for all ten document types; second-tenant property.</x:v>
      </x:c>
      <x:c r="L7" s="47" t="str">
        <x:v>Lalpurja, owner citizenship/company registration, Napi Naksa, Char Killa, Malpot receipt, tax clearance, building approval, completion certificate, POA, marketing authorization.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Tenant property; users in each role; files/URLs for all ten document types; second-tenant property.
2. Sign in/use role: Exercise every listed role plus an unauthenticated caller.
3. Navigate to Property details verification panel and capture the initial UI/API/database state.
4. Execute: All access is tenant scoped; public gets summary/level only and never file URLs, identity numbers, reviewer notes, or private checklist payload.
5. Inspect the network request/response against: GET/PATCH /api/properties/{id}/verification/; GET/PATCH/DELETE /api/properties/{id}/verification/documents/{document_type}/.
6. Refresh/re-query the feature and related modules: Property inventory, file storage, public property serializer, trust badge, audit/history.
7. Verify affected models (PropertyVerification, PropertyVerificationDocument, Property)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Property inventory, file storage, public property serializer, trust badge, audit/history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VER-004</x:v>
      </x:c>
      <x:c r="B8" s="47" t="str">
        <x:v>Property Verification and Due Diligence</x:v>
      </x:c>
      <x:c r="C8" s="47" t="str">
        <x:v>Property Verification and Due Diligence</x:v>
      </x:c>
      <x:c r="D8" s="47" t="str">
        <x:v>Prevent cross-tenant access in Property Verification and Due Diligence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Property Verification and Due Diligence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Tenant property; users in each role; files/URLs for all ten document types; second-tenant property.</x:v>
      </x:c>
      <x:c r="L8" s="47" t="str">
        <x:v>Lalpurja, owner citizenship/company registration, Napi Naksa, Char Killa, Malpot receipt, tax clearance, building approval, completion certificate, POA, marketing authorization.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Tenant property; users in each role; files/URLs for all ten document types; second-tenant property.
2. Sign in/use role: Agency A authenticated user and Agency B fixture.
3. Navigate to Property details verification panel and capture the initial UI/API/database state.
4. Execute: Substitute Agency B object IDs, related IDs, slugs, files and filter parameters into every Agency A list/detail/create/update/delete/action request.
5. Inspect the network request/response against: GET/PATCH /api/properties/{id}/verification/; GET/PATCH/DELETE /api/properties/{id}/verification/documents/{document_type}/.
6. Refresh/re-query the feature and related modules: Property inventory, file storage, public property serializer, trust badge, audit/history.
7. Verify affected models (PropertyVerification, PropertyVerificationDocument, Property)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Property inventory, file storage, public property serializer, trust badge, audit/history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VER-005</x:v>
      </x:c>
      <x:c r="B9" s="47" t="str">
        <x:v>Property Verification and Due Diligence</x:v>
      </x:c>
      <x:c r="C9" s="47" t="str">
        <x:v>Property Verification and Due Diligence</x:v>
      </x:c>
      <x:c r="D9" s="47" t="str">
        <x:v>Verify Property Verification and Due Diligence list, search and filter scoping</x:v>
      </x:c>
      <x:c r="E9" s="47" t="str">
        <x:v>N/A list is the fixed checklist returned by verification endpoint.</x:v>
      </x:c>
      <x:c r="F9" s="47" t="str">
        <x:v>Verify Property Verification and Due Diligence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Tenant property; users in each role; files/URLs for all ten document types; second-tenant property.</x:v>
      </x:c>
      <x:c r="L9" s="47" t="str">
        <x:v>Lalpurja, owner citizenship/company registration, Napi Naksa, Char Killa, Malpot receipt, tax clearance, building approval, completion certificate, POA, marketing authorization.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Tenant property; users in each role; files/URLs for all ten document types; second-tenant property.
2. Sign in/use role: Agency Owner.
3. Navigate to Property details verification panel and capture the initial UI/API/database state.
4. Execute: N/A list is the fixed checklist returned by verification endpoint.
5. Inspect the network request/response against: GET/PATCH /api/properties/{id}/verification/; GET/PATCH/DELETE /api/properties/{id}/verification/documents/{document_type}/.
6. Refresh/re-query the feature and related modules: Property inventory, file storage, public property serializer, trust badge, audit/history.
7. Verify affected models (PropertyVerification, PropertyVerificationDocument, Property)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Property inventory, file storage, public property serializer, trust badge, audit/history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VER-006</x:v>
      </x:c>
      <x:c r="B10" s="47" t="str">
        <x:v>Property Verification and Due Diligence</x:v>
      </x:c>
      <x:c r="C10" s="47" t="str">
        <x:v>Property Verification and Due Diligence</x:v>
      </x:c>
      <x:c r="D10" s="47" t="str">
        <x:v>Test duplicate submission and idempotency for Property Verification and Due Diligence</x:v>
      </x:c>
      <x:c r="E10" s="47" t="str">
        <x:v>Double-click/submit identical requests sequentially and concurrently. Current rule: Repeated GET is idempotent and must not create more than ten document rows; repeated upload updates the keyed document type.</x:v>
      </x:c>
      <x:c r="F10" s="47" t="str">
        <x:v>Test duplicate submission and idempotency for Property Verification and Due Diligence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Tenant property; users in each role; files/URLs for all ten document types; second-tenant property.</x:v>
      </x:c>
      <x:c r="L10" s="47" t="str">
        <x:v>Lalpurja, owner citizenship/company registration, Napi Naksa, Char Killa, Malpot receipt, tax clearance, building approval, completion certificate, POA, marketing authorization.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Tenant property; users in each role; files/URLs for all ten document types; second-tenant property.
2. Sign in/use role: Agency Owner.
3. Navigate to Property details verification panel and capture the initial UI/API/database state.
4. Execute: Double-click/submit identical requests sequentially and concurrently. Current rule: Repeated GET is idempotent and must not create more than ten document rows; repeated upload updates the keyed document type.
5. Inspect the network request/response against: GET/PATCH /api/properties/{id}/verification/; GET/PATCH/DELETE /api/properties/{id}/verification/documents/{document_type}/.
6. Refresh/re-query the feature and related modules: Property inventory, file storage, public property serializer, trust badge, audit/history.
7. Verify affected models (PropertyVerification, PropertyVerificationDocument, Property)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Property inventory, file storage, public property serializer, trust badge, audit/history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VER-007</x:v>
      </x:c>
      <x:c r="B11" s="47" t="str">
        <x:v>Property Verification and Due Diligence</x:v>
      </x:c>
      <x:c r="C11" s="47" t="str">
        <x:v>Property Verification and Due Diligence</x:v>
      </x:c>
      <x:c r="D11" s="47" t="str">
        <x:v>Verify deletion and dependency behavior for Property Verification and Due Diligence</x:v>
      </x:c>
      <x:c r="E11" s="47" t="str">
        <x:v>Delete an unreferenced record, a referenced record, a foreign-tenant record, and an already-deleted ID. Current rule: Deleting/resetting a document returns it to missing/current endpoint behavior without deleting the verification root; property deletion cascades checklist records.</x:v>
      </x:c>
      <x:c r="F11" s="47" t="str">
        <x:v>Verify deletion and dependency behavior for Property Verification and Due Diligence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Tenant property; users in each role; files/URLs for all ten document types; second-tenant property.</x:v>
      </x:c>
      <x:c r="L11" s="47" t="str">
        <x:v>Lalpurja, owner citizenship/company registration, Napi Naksa, Char Killa, Malpot receipt, tax clearance, building approval, completion certificate, POA, marketing authorization.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Tenant property; users in each role; files/URLs for all ten document types; second-tenant property.
2. Sign in/use role: Agency Owner or Agency Manager.
3. Navigate to Property details verification panel and capture the initial UI/API/database state.
4. Execute: Delete an unreferenced record, a referenced record, a foreign-tenant record, and an already-deleted ID. Current rule: Deleting/resetting a document returns it to missing/current endpoint behavior without deleting the verification root; property deletion cascades checklist records.
5. Inspect the network request/response against: GET/PATCH /api/properties/{id}/verification/; GET/PATCH/DELETE /api/properties/{id}/verification/documents/{document_type}/.
6. Refresh/re-query the feature and related modules: Property inventory, file storage, public property serializer, trust badge, audit/history.
7. Verify affected models (PropertyVerification, PropertyVerificationDocument, Property)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Property inventory, file storage, public property serializer, trust badge, audit/history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VER-008</x:v>
      </x:c>
      <x:c r="B12" s="47" t="str">
        <x:v>Property Verification and Due Diligence</x:v>
      </x:c>
      <x:c r="C12" s="47" t="str">
        <x:v>Property Verification and Due Diligence</x:v>
      </x:c>
      <x:c r="D12" s="47" t="str">
        <x:v>Recover cleanly from API/network failure during Property Verification and Due Diligence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Property Verification and Due Diligence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Tenant property; users in each role; files/URLs for all ten document types; second-tenant property.</x:v>
      </x:c>
      <x:c r="L12" s="47" t="str">
        <x:v>Lalpurja, owner citizenship/company registration, Napi Naksa, Char Killa, Malpot receipt, tax clearance, building approval, completion certificate, POA, marketing authorization.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Tenant property; users in each role; files/URLs for all ten document types; second-tenant property.
2. Sign in/use role: Agency Owner.
3. Navigate to Property details verification panel and capture the initial UI/API/database state.
4. Execute: Simulate timeout, offline browser, 500 response, expired access token and failed refresh while submitting the primary workflow.
5. Inspect the network request/response against: GET/PATCH /api/properties/{id}/verification/; GET/PATCH/DELETE /api/properties/{id}/verification/documents/{document_type}/.
6. Refresh/re-query the feature and related modules: Property inventory, file storage, public property serializer, trust badge, audit/history.
7. Verify affected models (PropertyVerification, PropertyVerificationDocument, Property)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Property inventory, file storage, public property serializer, trust badge, audit/history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VER-009</x:v>
      </x:c>
      <x:c r="B13" s="47" t="str">
        <x:v>Property Verification and Due Diligence</x:v>
      </x:c>
      <x:c r="C13" s="47" t="str">
        <x:v>Property Verification and Due Diligence</x:v>
      </x:c>
      <x:c r="D13" s="47" t="str">
        <x:v>Checklist initializes exactly once</x:v>
      </x:c>
      <x:c r="E13" s="47" t="str">
        <x:v>Call GET verification repeatedly and concurrently for a new property.</x:v>
      </x:c>
      <x:c r="F13" s="47" t="str">
        <x:v>Checklist initializes exactly once</x:v>
      </x:c>
      <x:c r="G13" s="47" t="str">
        <x:v>Idempotency</x:v>
      </x:c>
      <x:c r="H13" s="53" t="str">
        <x:v>P0</x:v>
      </x:c>
      <x:c r="I13" s="53" t="str">
        <x:v>Critical</x:v>
      </x:c>
      <x:c r="J13" s="47" t="str">
        <x:v>Agency user</x:v>
      </x:c>
      <x:c r="K13" s="47" t="str">
        <x:v>Tenant property; users in each role; files/URLs for all ten document types; second-tenant property.</x:v>
      </x:c>
      <x:c r="L13" s="47" t="str">
        <x:v>Lalpurja, owner citizenship/company registration, Napi Naksa, Char Killa, Malpot receipt, tax clearance, building approval, completion certificate, POA, marketing authorization.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Tenant property; users in each role; files/URLs for all ten document types; second-tenant property.
2. Sign in/use role: Agency user.
3. Navigate to Property details verification panel and capture the initial UI/API/database state.
4. Execute: Call GET verification repeatedly and concurrently for a new property.
5. Inspect the network request/response against: GET/PATCH /api/properties/{id}/verification/; GET/PATCH/DELETE /api/properties/{id}/verification/documents/{document_type}/.
6. Refresh/re-query the feature and related modules: Property inventory, file storage, public property serializer, trust badge, audit/history.
7. Verify affected models (PropertyVerification, PropertyVerificationDocument, Property) and all listed side effects.</x:v>
      </x:c>
      <x:c r="O13" s="47" t="str">
        <x:v>Every response contains the same ten document types and no duplicate rows are created.</x:v>
      </x:c>
      <x:c r="P13" s="47" t="str">
        <x:v>One PropertyVerification and ten unique PropertyVerificationDocument rows.</x:v>
      </x:c>
      <x:c r="Q13" s="47" t="str">
        <x:v>GET returns 200 every time.</x:v>
      </x:c>
      <x:c r="R13" s="47" t="str">
        <x:v>Panel displays ten stable checklist items.</x:v>
      </x:c>
      <x:c r="S13" s="47" t="str">
        <x:v>No notification/history duplication.</x:v>
      </x:c>
      <x:c r="T13" s="47" t="str">
        <x:v>Property inventory, file storage, public property serializer, trust badge, audit/history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VER-010</x:v>
      </x:c>
      <x:c r="B14" s="47" t="str">
        <x:v>Property Verification and Due Diligence</x:v>
      </x:c>
      <x:c r="C14" s="47" t="str">
        <x:v>Property Verification and Due Diligence</x:v>
      </x:c>
      <x:c r="D14" s="47" t="str">
        <x:v>Fully verified milestone cannot be skipped</x:v>
      </x:c>
      <x:c r="E14" s="47" t="str">
        <x:v>Attempt fully_verified before owner identity, ownership receipt, inspection, and document review milestones.</x:v>
      </x:c>
      <x:c r="F14" s="47" t="str">
        <x:v>Fully verified milestone cannot be skipped</x:v>
      </x:c>
      <x:c r="G14" s="47" t="str">
        <x:v>State Transition</x:v>
      </x:c>
      <x:c r="H14" s="53" t="str">
        <x:v>P0</x:v>
      </x:c>
      <x:c r="I14" s="53" t="str">
        <x:v>Critical</x:v>
      </x:c>
      <x:c r="J14" s="47" t="str">
        <x:v>Agency Manager</x:v>
      </x:c>
      <x:c r="K14" s="47" t="str">
        <x:v>Tenant property; users in each role; files/URLs for all ten document types; second-tenant property.</x:v>
      </x:c>
      <x:c r="L14" s="47" t="str">
        <x:v>Lalpurja, owner citizenship/company registration, Napi Naksa, Char Killa, Malpot receipt, tax clearance, building approval, completion certificate, POA, marketing authorization.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Tenant property; users in each role; files/URLs for all ten document types; second-tenant property.
2. Sign in/use role: Agency Manager.
3. Navigate to Property details verification panel and capture the initial UI/API/database state.
4. Execute: Attempt fully_verified before owner identity, ownership receipt, inspection, and document review milestones.
5. Inspect the network request/response against: GET/PATCH /api/properties/{id}/verification/; GET/PATCH/DELETE /api/properties/{id}/verification/documents/{document_type}/.
6. Refresh/re-query the feature and related modules: Property inventory, file storage, public property serializer, trust badge, audit/history.
7. Verify affected models (PropertyVerification, PropertyVerificationDocument, Property) and all listed side effects.</x:v>
      </x:c>
      <x:c r="O14" s="47" t="str">
        <x:v>Request is rejected with the sequential milestone rule.</x:v>
      </x:c>
      <x:c r="P14" s="47" t="str">
        <x:v>Verification flags/timestamps remain unchanged.</x:v>
      </x:c>
      <x:c r="Q14" s="47" t="str">
        <x:v>PATCH verification returns 400.</x:v>
      </x:c>
      <x:c r="R14" s="47" t="str">
        <x:v>Milestone UI explains unmet prerequisites.</x:v>
      </x:c>
      <x:c r="S14" s="47" t="str">
        <x:v>Public verification level remains unchanged.</x:v>
      </x:c>
      <x:c r="T14" s="47" t="str">
        <x:v>Property inventory, file storage, public property serializer, trust badge, audit/history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VER-011</x:v>
      </x:c>
      <x:c r="B15" s="47" t="str">
        <x:v>Property Verification and Due Diligence</x:v>
      </x:c>
      <x:c r="C15" s="47" t="str">
        <x:v>Property Verification and Due Diligence</x:v>
      </x:c>
      <x:c r="D15" s="47" t="str">
        <x:v>Public payload never exposes private document data</x:v>
      </x:c>
      <x:c r="E15" s="47" t="str">
        <x:v>Fetch a verified property after uploading sensitive files/numbers and reviewer notes.</x:v>
      </x:c>
      <x:c r="F15" s="47" t="str">
        <x:v>Public payload never exposes private document data</x:v>
      </x:c>
      <x:c r="G15" s="47" t="str">
        <x:v>Security</x:v>
      </x:c>
      <x:c r="H15" s="53" t="str">
        <x:v>P0</x:v>
      </x:c>
      <x:c r="I15" s="53" t="str">
        <x:v>Critical</x:v>
      </x:c>
      <x:c r="J15" s="47" t="str">
        <x:v>Public visitor</x:v>
      </x:c>
      <x:c r="K15" s="47" t="str">
        <x:v>Tenant property; users in each role; files/URLs for all ten document types; second-tenant property.</x:v>
      </x:c>
      <x:c r="L15" s="47" t="str">
        <x:v>Lalpurja, owner citizenship/company registration, Napi Naksa, Char Killa, Malpot receipt, tax clearance, building approval, completion certificate, POA, marketing authorization.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Tenant property; users in each role; files/URLs for all ten document types; second-tenant property.
2. Sign in/use role: Public visitor.
3. Navigate to Property details verification panel and capture the initial UI/API/database state.
4. Execute: Fetch a verified property after uploading sensitive files/numbers and reviewer notes.
5. Inspect the network request/response against: GET/PATCH /api/properties/{id}/verification/; GET/PATCH/DELETE /api/properties/{id}/verification/documents/{document_type}/.
6. Refresh/re-query the feature and related modules: Property inventory, file storage, public property serializer, trust badge, audit/history.
7. Verify affected models (PropertyVerification, PropertyVerificationDocument, Property) and all listed side effects.</x:v>
      </x:c>
      <x:c r="O15" s="47" t="str">
        <x:v>Only safe verification summary/level is returned.</x:v>
      </x:c>
      <x:c r="P15" s="47" t="str">
        <x:v>No rows change.</x:v>
      </x:c>
      <x:c r="Q15" s="47" t="str">
        <x:v>Public detail returns 200 without file paths, external URLs, document numbers or private notes.</x:v>
      </x:c>
      <x:c r="R15" s="47" t="str">
        <x:v>Trust badge may display; no download links are present.</x:v>
      </x:c>
      <x:c r="S15" s="47" t="str">
        <x:v>Browser/network cache contains no private fields.</x:v>
      </x:c>
      <x:c r="T15" s="47" t="str">
        <x:v>Property inventory, file storage, public property serializer, trust badge, audit/history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VER-012</x:v>
      </x:c>
      <x:c r="B16" s="48" t="str">
        <x:v>Property Verification and Due Diligence</x:v>
      </x:c>
      <x:c r="C16" s="48" t="str">
        <x:v>Property Verification and Due Diligence</x:v>
      </x:c>
      <x:c r="D16" s="48" t="str">
        <x:v>Rejected document correction workflow</x:v>
      </x:c>
      <x:c r="E16" s="48" t="str">
        <x:v>Mark a received document rejected with notes, upload a correction, and move it through review/approved.</x:v>
      </x:c>
      <x:c r="F16" s="48" t="str">
        <x:v>Rejected document correction workflow</x:v>
      </x:c>
      <x:c r="G16" s="48" t="str">
        <x:v>Workflow</x:v>
      </x:c>
      <x:c r="H16" s="54" t="str">
        <x:v>P1</x:v>
      </x:c>
      <x:c r="I16" s="54" t="str">
        <x:v>High</x:v>
      </x:c>
      <x:c r="J16" s="48" t="str">
        <x:v>Agency Manager</x:v>
      </x:c>
      <x:c r="K16" s="48" t="str">
        <x:v>Tenant property; users in each role; files/URLs for all ten document types; second-tenant property.</x:v>
      </x:c>
      <x:c r="L16" s="48" t="str">
        <x:v>Lalpurja, owner citizenship/company registration, Napi Naksa, Char Killa, Malpot receipt, tax clearance, building approval, completion certificate, POA, marketing authorization.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Tenant property; users in each role; files/URLs for all ten document types; second-tenant property.
2. Sign in/use role: Agency Manager.
3. Navigate to Property details verification panel and capture the initial UI/API/database state.
4. Execute: Mark a received document rejected with notes, upload a correction, and move it through review/approved.
5. Inspect the network request/response against: GET/PATCH /api/properties/{id}/verification/; GET/PATCH/DELETE /api/properties/{id}/verification/documents/{document_type}/.
6. Refresh/re-query the feature and related modules: Property inventory, file storage, public property serializer, trust badge, audit/history.
7. Verify affected models (PropertyVerification, PropertyVerificationDocument, Property) and all listed side effects.</x:v>
      </x:c>
      <x:c r="O16" s="48" t="str">
        <x:v>Status progression and correction metadata are retained without changing unrelated checklist items.</x:v>
      </x:c>
      <x:c r="P16" s="48" t="str">
        <x:v>One keyed document row updates; verification root recalculates summary.</x:v>
      </x:c>
      <x:c r="Q16" s="48" t="str">
        <x:v>PATCH calls return 200 for allowed statuses.</x:v>
      </x:c>
      <x:c r="R16" s="48" t="str">
        <x:v>Checklist clearly shows rejected then corrected state.</x:v>
      </x:c>
      <x:c r="S16" s="48" t="str">
        <x:v>Verification level updates only when milestone rules permit.</x:v>
      </x:c>
      <x:c r="T16" s="48" t="str">
        <x:v>Property inventory, file storage, public property serializer, trust badge, audit/history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48" priority="1">
      <x:formula>H5="P0"</x:formula>
    </x:cfRule>
    <x:cfRule type="expression" dxfId="49" priority="2">
      <x:formula>H5="P1"</x:formula>
    </x:cfRule>
    <x:cfRule type="expression" dxfId="50" priority="3">
      <x:formula>H5="P2"</x:formula>
    </x:cfRule>
    <x:cfRule type="expression" dxfId="51" priority="4">
      <x:formula>H5="P3"</x:formula>
    </x:cfRule>
  </x:conditionalFormatting>
  <x:conditionalFormatting sqref="W5:W16">
    <x:cfRule type="expression" dxfId="52" priority="5">
      <x:formula>W5="Passed"</x:formula>
    </x:cfRule>
    <x:cfRule type="expression" dxfId="53" priority="6">
      <x:formula>W5="Failed"</x:formula>
    </x:cfRule>
    <x:cfRule type="expression" dxfId="54" priority="7">
      <x:formula>W5="Blocked"</x:formula>
    </x:cfRule>
    <x:cfRule type="expression" dxfId="55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adc67bf95a4c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Listing Freshness, Availability and Trust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FRESH-001</x:v>
      </x:c>
      <x:c r="B5" s="46" t="str">
        <x:v>Listing Freshness, Availability and Trust</x:v>
      </x:c>
      <x:c r="C5" s="46" t="str">
        <x:v>Listing Freshness, Availability and Trust</x:v>
      </x:c>
      <x:c r="D5" s="46" t="str">
        <x:v>Complete the primary Listing Freshness, Availability and Trust workflow</x:v>
      </x:c>
      <x:c r="E5" s="46" t="str">
        <x:v>Publish an available listing, confirm it, let it expire, request republish, and have a manager decide.</x:v>
      </x:c>
      <x:c r="F5" s="46" t="str">
        <x:v>Complete the primary Listing Freshness, Availability and Trust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Available/reserved/under-negotiation properties around expiry; owner/manager/agent; duplicate candidates; public visitor.</x:v>
      </x:c>
      <x:c r="L5" s="46" t="str">
        <x:v>Confirmation dates, expiry boundary, withdrawal reason, approval/rejection notes, report reason/contact.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Available/reserved/under-negotiation properties around expiry; owner/manager/agent; duplicate candidates; public visitor.
2. Sign in/use role: Agency Owner.
3. Navigate to Property details freshness/history/duplicate panels and public report action and capture the initial UI/API/database state.
4. Execute: Publish an available listing, confirm it, let it expire, request republish, and have a manager decide.
5. Inspect the network request/response against: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
6. Refresh/re-query the feature and related modules: Scheduler process_listing_freshness, public visibility, leads, notifications, dashboard/distribution.
7. Verify affected models (Property, PropertyHistory, PropertyDuplicateFlag, PublicSubmission, Notification) and all listed side effects.</x:v>
      </x:c>
      <x:c r="O5" s="46" t="str">
        <x:v>Freshness window initializes, reminders are deduplicated, expired listing becomes non-public, and only approved republish restores a fresh public listing.</x:v>
      </x:c>
      <x:c r="P5" s="46" t="str">
        <x:v>Property freshness dates/publication flags/status may update; history/notification/submission/duplicate rows add as appropriate.</x:v>
      </x:c>
      <x:c r="Q5" s="46" t="str">
        <x:v>Use the documented routes: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 Successful create operations return 201, reads/updates/actions 200, and deletes 204 where provided; capture exact endpoint-specific response.</x:v>
      </x:c>
      <x:c r="R5" s="46" t="str">
        <x:v>Start at Property details freshness/history/duplicate panels and public report action. The visible state must match the saved API response after refresh.</x:v>
      </x:c>
      <x:c r="S5" s="46" t="str">
        <x:v>Public search visibility, trust promise, distribution links, active lead expectations, dashboard counts and notifications change.</x:v>
      </x:c>
      <x:c r="T5" s="46" t="str">
        <x:v>Scheduler process_listing_freshness, public visibility, leads, notifications, dashboard/distribution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FRESH-002</x:v>
      </x:c>
      <x:c r="B6" s="47" t="str">
        <x:v>Listing Freshness, Availability and Trust</x:v>
      </x:c>
      <x:c r="C6" s="47" t="str">
        <x:v>Listing Freshness, Availability and Trust</x:v>
      </x:c>
      <x:c r="D6" s="47" t="str">
        <x:v>Reject invalid or missing Listing Freshness, Availability and Trust inputs</x:v>
      </x:c>
      <x:c r="E6" s="47" t="str">
        <x:v>Reject withdrawal without reason, agent self-approval, invalid availability status, duplicate decision, cross-tenant report workflow access, and future/illogical date input.</x:v>
      </x:c>
      <x:c r="F6" s="47" t="str">
        <x:v>Reject invalid or missing Listing Freshness, Availability and Trust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Available/reserved/under-negotiation properties around expiry; owner/manager/agent; duplicate candidates; public visitor.</x:v>
      </x:c>
      <x:c r="L6" s="47" t="str">
        <x:v>Confirmation dates, expiry boundary, withdrawal reason, approval/rejection notes, report reason/contact.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Available/reserved/under-negotiation properties around expiry; owner/manager/agent; duplicate candidates; public visitor.
2. Sign in/use role: Agency Owner.
3. Navigate to Property details freshness/history/duplicate panels and public report action and capture the initial UI/API/database state.
4. Execute: Reject withdrawal without reason, agent self-approval, invalid availability status, duplicate decision, cross-tenant report workflow access, and future/illogical date input.
5. Inspect the network request/response against: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
6. Refresh/re-query the feature and related modules: Scheduler process_listing_freshness, public visibility, leads, notifications, dashboard/distribution.
7. Verify affected models (Property, PropertyHistory, PropertyDuplicateFlag, PublicSubmission, Notification)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Scheduler process_listing_freshness, public visibility, leads, notifications, dashboard/distribution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FRESH-003</x:v>
      </x:c>
      <x:c r="B7" s="47" t="str">
        <x:v>Listing Freshness, Availability and Trust</x:v>
      </x:c>
      <x:c r="C7" s="47" t="str">
        <x:v>Listing Freshness, Availability and Trust</x:v>
      </x:c>
      <x:c r="D7" s="47" t="str">
        <x:v>Enforce Listing Freshness, Availability and Trust role permissions</x:v>
      </x:c>
      <x:c r="E7" s="47" t="str">
        <x:v>Agent may act only on assigned listing and request republish; owner/manager decides; public only reports and never sees private history/duplicates.</x:v>
      </x:c>
      <x:c r="F7" s="47" t="str">
        <x:v>Enforce Listing Freshness, Availability and Trust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Available/reserved/under-negotiation properties around expiry; owner/manager/agent; duplicate candidates; public visitor.</x:v>
      </x:c>
      <x:c r="L7" s="47" t="str">
        <x:v>Confirmation dates, expiry boundary, withdrawal reason, approval/rejection notes, report reason/contact.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Available/reserved/under-negotiation properties around expiry; owner/manager/agent; duplicate candidates; public visitor.
2. Sign in/use role: Exercise every listed role plus an unauthenticated caller.
3. Navigate to Property details freshness/history/duplicate panels and public report action and capture the initial UI/API/database state.
4. Execute: Agent may act only on assigned listing and request republish; owner/manager decides; public only reports and never sees private history/duplicates.
5. Inspect the network request/response against: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
6. Refresh/re-query the feature and related modules: Scheduler process_listing_freshness, public visibility, leads, notifications, dashboard/distribution.
7. Verify affected models (Property, PropertyHistory, PropertyDuplicateFlag, PublicSubmission, Notification)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Scheduler process_listing_freshness, public visibility, leads, notifications, dashboard/distribution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FRESH-004</x:v>
      </x:c>
      <x:c r="B8" s="47" t="str">
        <x:v>Listing Freshness, Availability and Trust</x:v>
      </x:c>
      <x:c r="C8" s="47" t="str">
        <x:v>Listing Freshness, Availability and Trust</x:v>
      </x:c>
      <x:c r="D8" s="47" t="str">
        <x:v>Prevent cross-tenant access in Listing Freshness, Availability and Trust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Listing Freshness, Availability and Trust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Available/reserved/under-negotiation properties around expiry; owner/manager/agent; duplicate candidates; public visitor.</x:v>
      </x:c>
      <x:c r="L8" s="47" t="str">
        <x:v>Confirmation dates, expiry boundary, withdrawal reason, approval/rejection notes, report reason/contact.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Available/reserved/under-negotiation properties around expiry; owner/manager/agent; duplicate candidates; public visitor.
2. Sign in/use role: Agency A authenticated user and Agency B fixture.
3. Navigate to Property details freshness/history/duplicate panels and public report action and capture the initial UI/API/database state.
4. Execute: Substitute Agency B object IDs, related IDs, slugs, files and filter parameters into every Agency A list/detail/create/update/delete/action request.
5. Inspect the network request/response against: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
6. Refresh/re-query the feature and related modules: Scheduler process_listing_freshness, public visibility, leads, notifications, dashboard/distribution.
7. Verify affected models (Property, PropertyHistory, PropertyDuplicateFlag, PublicSubmission, Notification)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Scheduler process_listing_freshness, public visibility, leads, notifications, dashboard/distribution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FRESH-005</x:v>
      </x:c>
      <x:c r="B9" s="47" t="str">
        <x:v>Listing Freshness, Availability and Trust</x:v>
      </x:c>
      <x:c r="C9" s="47" t="str">
        <x:v>Listing Freshness, Availability and Trust</x:v>
      </x:c>
      <x:c r="D9" s="47" t="str">
        <x:v>Verify Listing Freshness, Availability and Trust list, search and filter scoping</x:v>
      </x:c>
      <x:c r="E9" s="47" t="str">
        <x:v>History ordered by time; duplicate queues tenant scoped and filterable by status.</x:v>
      </x:c>
      <x:c r="F9" s="47" t="str">
        <x:v>Verify Listing Freshness, Availability and Trust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Available/reserved/under-negotiation properties around expiry; owner/manager/agent; duplicate candidates; public visitor.</x:v>
      </x:c>
      <x:c r="L9" s="47" t="str">
        <x:v>Confirmation dates, expiry boundary, withdrawal reason, approval/rejection notes, report reason/contact.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Available/reserved/under-negotiation properties around expiry; owner/manager/agent; duplicate candidates; public visitor.
2. Sign in/use role: Agency Owner.
3. Navigate to Property details freshness/history/duplicate panels and public report action and capture the initial UI/API/database state.
4. Execute: History ordered by time; duplicate queues tenant scoped and filterable by status.
5. Inspect the network request/response against: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
6. Refresh/re-query the feature and related modules: Scheduler process_listing_freshness, public visibility, leads, notifications, dashboard/distribution.
7. Verify affected models (Property, PropertyHistory, PropertyDuplicateFlag, PublicSubmission, Notification)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Scheduler process_listing_freshness, public visibility, leads, notifications, dashboard/distribution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FRESH-006</x:v>
      </x:c>
      <x:c r="B10" s="47" t="str">
        <x:v>Listing Freshness, Availability and Trust</x:v>
      </x:c>
      <x:c r="C10" s="47" t="str">
        <x:v>Listing Freshness, Availability and Trust</x:v>
      </x:c>
      <x:c r="D10" s="47" t="str">
        <x:v>Test duplicate submission and idempotency for Listing Freshness, Availability and Trust</x:v>
      </x:c>
      <x:c r="E10" s="47" t="str">
        <x:v>Double-click/submit identical requests sequentially and concurrently. Current rule: Reminder and expiry jobs are idempotent per window; duplicate report/confirmation behavior must not multiply reminders/history unexpectedly.</x:v>
      </x:c>
      <x:c r="F10" s="47" t="str">
        <x:v>Test duplicate submission and idempotency for Listing Freshness, Availability and Trust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Available/reserved/under-negotiation properties around expiry; owner/manager/agent; duplicate candidates; public visitor.</x:v>
      </x:c>
      <x:c r="L10" s="47" t="str">
        <x:v>Confirmation dates, expiry boundary, withdrawal reason, approval/rejection notes, report reason/contact.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Available/reserved/under-negotiation properties around expiry; owner/manager/agent; duplicate candidates; public visitor.
2. Sign in/use role: Agency Owner.
3. Navigate to Property details freshness/history/duplicate panels and public report action and capture the initial UI/API/database state.
4. Execute: Double-click/submit identical requests sequentially and concurrently. Current rule: Reminder and expiry jobs are idempotent per window; duplicate report/confirmation behavior must not multiply reminders/history unexpectedly.
5. Inspect the network request/response against: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
6. Refresh/re-query the feature and related modules: Scheduler process_listing_freshness, public visibility, leads, notifications, dashboard/distribution.
7. Verify affected models (Property, PropertyHistory, PropertyDuplicateFlag, PublicSubmission, Notification)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Scheduler process_listing_freshness, public visibility, leads, notifications, dashboard/distribution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FRESH-007</x:v>
      </x:c>
      <x:c r="B11" s="47" t="str">
        <x:v>Listing Freshness, Availability and Trust</x:v>
      </x:c>
      <x:c r="C11" s="47" t="str">
        <x:v>Listing Freshness, Availability and Trust</x:v>
      </x:c>
      <x:c r="D11" s="47" t="str">
        <x:v>Verify deletion and dependency behavior for Listing Freshness, Availability and Trust</x:v>
      </x:c>
      <x:c r="E11" s="47" t="str">
        <x:v>Delete an unreferenced record, a referenced record, a foreign-tenant record, and an already-deleted ID. Current rule: Property delete cascades freshness history/flags; public reports remain according to their property on_delete behavior. Republish history is not deleted independently.</x:v>
      </x:c>
      <x:c r="F11" s="47" t="str">
        <x:v>Verify deletion and dependency behavior for Listing Freshness, Availability and Trust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Available/reserved/under-negotiation properties around expiry; owner/manager/agent; duplicate candidates; public visitor.</x:v>
      </x:c>
      <x:c r="L11" s="47" t="str">
        <x:v>Confirmation dates, expiry boundary, withdrawal reason, approval/rejection notes, report reason/contact.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Available/reserved/under-negotiation properties around expiry; owner/manager/agent; duplicate candidates; public visitor.
2. Sign in/use role: Agency Owner or Agency Manager.
3. Navigate to Property details freshness/history/duplicate panels and public report action and capture the initial UI/API/database state.
4. Execute: Delete an unreferenced record, a referenced record, a foreign-tenant record, and an already-deleted ID. Current rule: Property delete cascades freshness history/flags; public reports remain according to their property on_delete behavior. Republish history is not deleted independently.
5. Inspect the network request/response against: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
6. Refresh/re-query the feature and related modules: Scheduler process_listing_freshness, public visibility, leads, notifications, dashboard/distribution.
7. Verify affected models (Property, PropertyHistory, PropertyDuplicateFlag, PublicSubmission, Notification)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Scheduler process_listing_freshness, public visibility, leads, notifications, dashboard/distribution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FRESH-008</x:v>
      </x:c>
      <x:c r="B12" s="47" t="str">
        <x:v>Listing Freshness, Availability and Trust</x:v>
      </x:c>
      <x:c r="C12" s="47" t="str">
        <x:v>Listing Freshness, Availability and Trust</x:v>
      </x:c>
      <x:c r="D12" s="47" t="str">
        <x:v>Recover cleanly from API/network failure during Listing Freshness, Availability and Trust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Listing Freshness, Availability and Trust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Available/reserved/under-negotiation properties around expiry; owner/manager/agent; duplicate candidates; public visitor.</x:v>
      </x:c>
      <x:c r="L12" s="47" t="str">
        <x:v>Confirmation dates, expiry boundary, withdrawal reason, approval/rejection notes, report reason/contact.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Available/reserved/under-negotiation properties around expiry; owner/manager/agent; duplicate candidates; public visitor.
2. Sign in/use role: Agency Owner.
3. Navigate to Property details freshness/history/duplicate panels and public report action and capture the initial UI/API/database state.
4. Execute: Simulate timeout, offline browser, 500 response, expired access token and failed refresh while submitting the primary workflow.
5. Inspect the network request/response against: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
6. Refresh/re-query the feature and related modules: Scheduler process_listing_freshness, public visibility, leads, notifications, dashboard/distribution.
7. Verify affected models (Property, PropertyHistory, PropertyDuplicateFlag, PublicSubmission, Notification)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Scheduler process_listing_freshness, public visibility, leads, notifications, dashboard/distribution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FRESH-009</x:v>
      </x:c>
      <x:c r="B13" s="47" t="str">
        <x:v>Listing Freshness, Availability and Trust</x:v>
      </x:c>
      <x:c r="C13" s="47" t="str">
        <x:v>Listing Freshness, Availability and Trust</x:v>
      </x:c>
      <x:c r="D13" s="47" t="str">
        <x:v>Expiry boundary hides listing automatically</x:v>
      </x:c>
      <x:c r="E13" s="47" t="str">
        <x:v>Set expires_at just before, exactly at, and just after current Nepal-aware time; run freshness command and query public list.</x:v>
      </x:c>
      <x:c r="F13" s="47" t="str">
        <x:v>Expiry boundary hides listing automatically</x:v>
      </x:c>
      <x:c r="G13" s="47" t="str">
        <x:v>Boundary</x:v>
      </x:c>
      <x:c r="H13" s="53" t="str">
        <x:v>P0</x:v>
      </x:c>
      <x:c r="I13" s="53" t="str">
        <x:v>Critical</x:v>
      </x:c>
      <x:c r="J13" s="47" t="str">
        <x:v>Scheduler/Public visitor</x:v>
      </x:c>
      <x:c r="K13" s="47" t="str">
        <x:v>Available/reserved/under-negotiation properties around expiry; owner/manager/agent; duplicate candidates; public visitor.</x:v>
      </x:c>
      <x:c r="L13" s="47" t="str">
        <x:v>Confirmation dates, expiry boundary, withdrawal reason, approval/rejection notes, report reason/contact.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Available/reserved/under-negotiation properties around expiry; owner/manager/agent; duplicate candidates; public visitor.
2. Sign in/use role: Scheduler/Public visitor.
3. Navigate to Property details freshness/history/duplicate panels and public report action and capture the initial UI/API/database state.
4. Execute: Set expires_at just before, exactly at, and just after current Nepal-aware time; run freshness command and query public list.
5. Inspect the network request/response against: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
6. Refresh/re-query the feature and related modules: Scheduler process_listing_freshness, public visibility, leads, notifications, dashboard/distribution.
7. Verify affected models (Property, PropertyHistory, PropertyDuplicateFlag, PublicSubmission, Notification) and all listed side effects.</x:v>
      </x:c>
      <x:c r="O13" s="47" t="str">
        <x:v>Expired/equal-boundary records are hidden according to queryset comparison; future record remains visible.</x:v>
      </x:c>
      <x:c r="P13" s="47" t="str">
        <x:v>Expired property publication/expiry state and history update once.</x:v>
      </x:c>
      <x:c r="Q13" s="47" t="str">
        <x:v>Public list/detail exclude expired entries; scheduler exits successfully.</x:v>
      </x:c>
      <x:c r="R13" s="47" t="str">
        <x:v>Listing disappears on refresh and direct detail is unavailable.</x:v>
      </x:c>
      <x:c r="S13" s="47" t="str">
        <x:v>Reminder/manager alert is not duplicated.</x:v>
      </x:c>
      <x:c r="T13" s="47" t="str">
        <x:v>Scheduler process_listing_freshness, public visibility, leads, notifications, dashboard/distribution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FRESH-010</x:v>
      </x:c>
      <x:c r="B14" s="47" t="str">
        <x:v>Listing Freshness, Availability and Trust</x:v>
      </x:c>
      <x:c r="C14" s="47" t="str">
        <x:v>Listing Freshness, Availability and Trust</x:v>
      </x:c>
      <x:c r="D14" s="47" t="str">
        <x:v>Reserved and under-negotiation remain public availability states</x:v>
      </x:c>
      <x:c r="E14" s="47" t="str">
        <x:v>Move a fresh published property from available to reserved and under_negotiation.</x:v>
      </x:c>
      <x:c r="F14" s="47" t="str">
        <x:v>Reserved and under-negotiation remain public availability states</x:v>
      </x:c>
      <x:c r="G14" s="47" t="str">
        <x:v>State Transition</x:v>
      </x:c>
      <x:c r="H14" s="53" t="str">
        <x:v>P1</x:v>
      </x:c>
      <x:c r="I14" s="53" t="str">
        <x:v>High</x:v>
      </x:c>
      <x:c r="J14" s="47" t="str">
        <x:v>Agency Manager/Public visitor</x:v>
      </x:c>
      <x:c r="K14" s="47" t="str">
        <x:v>Available/reserved/under-negotiation properties around expiry; owner/manager/agent; duplicate candidates; public visitor.</x:v>
      </x:c>
      <x:c r="L14" s="47" t="str">
        <x:v>Confirmation dates, expiry boundary, withdrawal reason, approval/rejection notes, report reason/contact.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Available/reserved/under-negotiation properties around expiry; owner/manager/agent; duplicate candidates; public visitor.
2. Sign in/use role: Agency Manager/Public visitor.
3. Navigate to Property details freshness/history/duplicate panels and public report action and capture the initial UI/API/database state.
4. Execute: Move a fresh published property from available to reserved and under_negotiation.
5. Inspect the network request/response against: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
6. Refresh/re-query the feature and related modules: Scheduler process_listing_freshness, public visibility, leads, notifications, dashboard/distribution.
7. Verify affected models (Property, PropertyHistory, PropertyDuplicateFlag, PublicSubmission, Notification) and all listed side effects.</x:v>
      </x:c>
      <x:c r="O14" s="47" t="str">
        <x:v>Both statuses remain visible publicly as implemented, with accurate availability label.</x:v>
      </x:c>
      <x:c r="P14" s="47" t="str">
        <x:v>Property status/history changes; freshness remains valid.</x:v>
      </x:c>
      <x:c r="Q14" s="47" t="str">
        <x:v>PATCH succeeds; public list/detail return the record.</x:v>
      </x:c>
      <x:c r="R14" s="47" t="str">
        <x:v>Badges update without removing the listing.</x:v>
      </x:c>
      <x:c r="S14" s="47" t="str">
        <x:v>Inquiries remain attributable to the property.</x:v>
      </x:c>
      <x:c r="T14" s="47" t="str">
        <x:v>Scheduler process_listing_freshness, public visibility, leads, notifications, dashboard/distribution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FRESH-011</x:v>
      </x:c>
      <x:c r="B15" s="47" t="str">
        <x:v>Listing Freshness, Availability and Trust</x:v>
      </x:c>
      <x:c r="C15" s="47" t="str">
        <x:v>Listing Freshness, Availability and Trust</x:v>
      </x:c>
      <x:c r="D15" s="47" t="str">
        <x:v>Republish requires manager approval</x:v>
      </x:c>
      <x:c r="E15" s="47" t="str">
        <x:v>Agent requests republish, then tries decision endpoint; manager approves once.</x:v>
      </x:c>
      <x:c r="F15" s="47" t="str">
        <x:v>Republish requires manager approval</x:v>
      </x:c>
      <x:c r="G15" s="47" t="str">
        <x:v>Permission</x:v>
      </x:c>
      <x:c r="H15" s="53" t="str">
        <x:v>P0</x:v>
      </x:c>
      <x:c r="I15" s="53" t="str">
        <x:v>Critical</x:v>
      </x:c>
      <x:c r="J15" s="47" t="str">
        <x:v>Agent and Manager</x:v>
      </x:c>
      <x:c r="K15" s="47" t="str">
        <x:v>Available/reserved/under-negotiation properties around expiry; owner/manager/agent; duplicate candidates; public visitor.</x:v>
      </x:c>
      <x:c r="L15" s="47" t="str">
        <x:v>Confirmation dates, expiry boundary, withdrawal reason, approval/rejection notes, report reason/contact.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Available/reserved/under-negotiation properties around expiry; owner/manager/agent; duplicate candidates; public visitor.
2. Sign in/use role: Agent and Manager.
3. Navigate to Property details freshness/history/duplicate panels and public report action and capture the initial UI/API/database state.
4. Execute: Agent requests republish, then tries decision endpoint; manager approves once.
5. Inspect the network request/response against: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
6. Refresh/re-query the feature and related modules: Scheduler process_listing_freshness, public visibility, leads, notifications, dashboard/distribution.
7. Verify affected models (Property, PropertyHistory, PropertyDuplicateFlag, PublicSubmission, Notification) and all listed side effects.</x:v>
      </x:c>
      <x:c r="O15" s="47" t="str">
        <x:v>Agent decision is forbidden; manager approval resets eligible freshness/publication exactly once.</x:v>
      </x:c>
      <x:c r="P15" s="47" t="str">
        <x:v>Request/decision metadata and history update; one manager audit trail.</x:v>
      </x:c>
      <x:c r="Q15" s="47" t="str">
        <x:v>Agent decision 403; manager decision 200.</x:v>
      </x:c>
      <x:c r="R15" s="47" t="str">
        <x:v>Agent sees pending state; manager sees approve/reject controls.</x:v>
      </x:c>
      <x:c r="S15" s="47" t="str">
        <x:v>Public listing returns only after approval.</x:v>
      </x:c>
      <x:c r="T15" s="47" t="str">
        <x:v>Scheduler process_listing_freshness, public visibility, leads, notifications, dashboard/distribution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FRESH-012</x:v>
      </x:c>
      <x:c r="B16" s="48" t="str">
        <x:v>Listing Freshness, Availability and Trust</x:v>
      </x:c>
      <x:c r="C16" s="48" t="str">
        <x:v>Listing Freshness, Availability and Trust</x:v>
      </x:c>
      <x:c r="D16" s="48" t="str">
        <x:v>Public listing report creates reviewable submission</x:v>
      </x:c>
      <x:c r="E16" s="48" t="str">
        <x:v>Report a currently public listing with a reason, then inspect agency submissions.</x:v>
      </x:c>
      <x:c r="F16" s="48" t="str">
        <x:v>Public listing report creates reviewable submission</x:v>
      </x:c>
      <x:c r="G16" s="48" t="str">
        <x:v>Integration</x:v>
      </x:c>
      <x:c r="H16" s="54" t="str">
        <x:v>P1</x:v>
      </x:c>
      <x:c r="I16" s="54" t="str">
        <x:v>High</x:v>
      </x:c>
      <x:c r="J16" s="48" t="str">
        <x:v>Public visitor</x:v>
      </x:c>
      <x:c r="K16" s="48" t="str">
        <x:v>Available/reserved/under-negotiation properties around expiry; owner/manager/agent; duplicate candidates; public visitor.</x:v>
      </x:c>
      <x:c r="L16" s="48" t="str">
        <x:v>Confirmation dates, expiry boundary, withdrawal reason, approval/rejection notes, report reason/contact.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Available/reserved/under-negotiation properties around expiry; owner/manager/agent; duplicate candidates; public visitor.
2. Sign in/use role: Public visitor.
3. Navigate to Property details freshness/history/duplicate panels and public report action and capture the initial UI/API/database state.
4. Execute: Report a currently public listing with a reason, then inspect agency submissions.
5. Inspect the network request/response against: POST /api/properties/{id}/freshness/confirm/; POST /api/properties/{id}/republish/request/; POST /api/properties/{id}/republish/decision/; GET /api/properties/{id}/history/; GET /api/properties/{id}/duplicates/; PATCH /api/properties/duplicates/{id}/; POST public listing-report submission.
6. Refresh/re-query the feature and related modules: Scheduler process_listing_freshness, public visibility, leads, notifications, dashboard/distribution.
7. Verify affected models (Property, PropertyHistory, PropertyDuplicateFlag, PublicSubmission, Notification) and all listed side effects.</x:v>
      </x:c>
      <x:c r="O16" s="48" t="str">
        <x:v>A listing_report submission is created for the correct agency/property without exposing internal data.</x:v>
      </x:c>
      <x:c r="P16" s="48" t="str">
        <x:v>PublicSubmission +1; property itself is not automatically withdrawn.</x:v>
      </x:c>
      <x:c r="Q16" s="48" t="str">
        <x:v>Public POST returns created response; authenticated submissions list includes it.</x:v>
      </x:c>
      <x:c r="R16" s="48" t="str">
        <x:v>Public user gets confirmation; manager sees new submission.</x:v>
      </x:c>
      <x:c r="S16" s="48" t="str">
        <x:v>Any linked lead/history behavior follows current implementation and must be recorded.</x:v>
      </x:c>
      <x:c r="T16" s="48" t="str">
        <x:v>Scheduler process_listing_freshness, public visibility, leads, notifications, dashboard/distribution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56" priority="1">
      <x:formula>H5="P0"</x:formula>
    </x:cfRule>
    <x:cfRule type="expression" dxfId="57" priority="2">
      <x:formula>H5="P1"</x:formula>
    </x:cfRule>
    <x:cfRule type="expression" dxfId="58" priority="3">
      <x:formula>H5="P2"</x:formula>
    </x:cfRule>
    <x:cfRule type="expression" dxfId="59" priority="4">
      <x:formula>H5="P3"</x:formula>
    </x:cfRule>
  </x:conditionalFormatting>
  <x:conditionalFormatting sqref="W5:W16">
    <x:cfRule type="expression" dxfId="60" priority="5">
      <x:formula>W5="Passed"</x:formula>
    </x:cfRule>
    <x:cfRule type="expression" dxfId="61" priority="6">
      <x:formula>W5="Failed"</x:formula>
    </x:cfRule>
    <x:cfRule type="expression" dxfId="62" priority="7">
      <x:formula>W5="Blocked"</x:formula>
    </x:cfRule>
    <x:cfRule type="expression" dxfId="63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09728d1a6142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Listing Distribution Toolkit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DIST-001</x:v>
      </x:c>
      <x:c r="B5" s="46" t="str">
        <x:v>Listing Distribution Toolkit</x:v>
      </x:c>
      <x:c r="C5" s="46" t="str">
        <x:v>Listing Distribution Toolkit</x:v>
      </x:c>
      <x:c r="D5" s="46" t="str">
        <x:v>Complete the primary Listing Distribution Toolkit workflow</x:v>
      </x:c>
      <x:c r="E5" s="46" t="str">
        <x:v>Open the toolkit, generate/download each asset, create a short link, share it, and create a social draft.</x:v>
      </x:c>
      <x:c r="F5" s="46" t="str">
        <x:v>Complete the primary Listing Distribution Toolkit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Fresh published property with primary/media images; agency branding/localization; assigned and unassigned agents.</x:v>
      </x:c>
      <x:c r="L5" s="46" t="str">
        <x:v>Nepali/English captions; attribution source/medium/campaign; asset types image, story, brochure, window-card, QR, CSV, media packages.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Fresh published property with primary/media images; agency branding/localization; assigned and unassigned agents.
2. Sign in/use role: Agency Owner.
3. Navigate to Property details distribution panel and social media handoff and capture the initial UI/API/database state.
4. Execute: Open the toolkit, generate/download each asset, create a short link, share it, and create a social draft.
5. Inspect the network request/response against: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
6. Refresh/re-query the feature and related modules: Property/public eligibility, media, localization, social posts, public inquiry/site-visit attribution.
7. Verify affected models (PropertyDistributionLink, PropertyEvent, SocialPost, PropertyMedia, Property) and all listed side effects.</x:v>
      </x:c>
      <x:c r="O5" s="46" t="str">
        <x:v>Assets are downloadable and tenant branded; short link resolves eligible property, increments click/event attribution, and social draft uses generated creative/caption.</x:v>
      </x:c>
      <x:c r="P5" s="46" t="str">
        <x:v>DistributionLink rows add/update/delete; redirect increments click_count and PropertyEvent; social draft adds SocialPost; export/download mostly read-only.</x:v>
      </x:c>
      <x:c r="Q5" s="46" t="str">
        <x:v>Use the documented routes: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 Successful create operations return 201, reads/updates/actions 200, and deletes 204 where provided; capture exact endpoint-specific response.</x:v>
      </x:c>
      <x:c r="R5" s="46" t="str">
        <x:v>Start at Property details distribution panel and social media handoff. The visible state must match the saved API response after refresh.</x:v>
      </x:c>
      <x:c r="S5" s="46" t="str">
        <x:v>Lead and site-visit UTM/source attribution, analytics, public traffic and Meta publishing can change.</x:v>
      </x:c>
      <x:c r="T5" s="46" t="str">
        <x:v>Property/public eligibility, media, localization, social posts, public inquiry/site-visit attribution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DIST-002</x:v>
      </x:c>
      <x:c r="B6" s="47" t="str">
        <x:v>Listing Distribution Toolkit</x:v>
      </x:c>
      <x:c r="C6" s="47" t="str">
        <x:v>Listing Distribution Toolkit</x:v>
      </x:c>
      <x:c r="D6" s="47" t="str">
        <x:v>Reject invalid or missing Listing Distribution Toolkit inputs</x:v>
      </x:c>
      <x:c r="E6" s="47" t="str">
        <x:v>Reject unassigned-agent access, unknown asset type, invalid attribution values/URLs, non-public/ineligible distribution where guarded, and cross-tenant link IDs.</x:v>
      </x:c>
      <x:c r="F6" s="47" t="str">
        <x:v>Reject invalid or missing Listing Distribution Toolkit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Fresh published property with primary/media images; agency branding/localization; assigned and unassigned agents.</x:v>
      </x:c>
      <x:c r="L6" s="47" t="str">
        <x:v>Nepali/English captions; attribution source/medium/campaign; asset types image, story, brochure, window-card, QR, CSV, media packages.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Fresh published property with primary/media images; agency branding/localization; assigned and unassigned agents.
2. Sign in/use role: Agency Owner.
3. Navigate to Property details distribution panel and social media handoff and capture the initial UI/API/database state.
4. Execute: Reject unassigned-agent access, unknown asset type, invalid attribution values/URLs, non-public/ineligible distribution where guarded, and cross-tenant link IDs.
5. Inspect the network request/response against: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
6. Refresh/re-query the feature and related modules: Property/public eligibility, media, localization, social posts, public inquiry/site-visit attribution.
7. Verify affected models (PropertyDistributionLink, PropertyEvent, SocialPost, PropertyMedia, Property)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Property/public eligibility, media, localization, social posts, public inquiry/site-visit attribution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DIST-003</x:v>
      </x:c>
      <x:c r="B7" s="47" t="str">
        <x:v>Listing Distribution Toolkit</x:v>
      </x:c>
      <x:c r="C7" s="47" t="str">
        <x:v>Listing Distribution Toolkit</x:v>
      </x:c>
      <x:c r="D7" s="47" t="str">
        <x:v>Enforce Listing Distribution Toolkit role permissions</x:v>
      </x:c>
      <x:c r="E7" s="47" t="str">
        <x:v>Owners/managers can distribute tenant properties; agents only assigned properties; public can use an active short link without accessing management data.</x:v>
      </x:c>
      <x:c r="F7" s="47" t="str">
        <x:v>Enforce Listing Distribution Toolkit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Fresh published property with primary/media images; agency branding/localization; assigned and unassigned agents.</x:v>
      </x:c>
      <x:c r="L7" s="47" t="str">
        <x:v>Nepali/English captions; attribution source/medium/campaign; asset types image, story, brochure, window-card, QR, CSV, media packages.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Fresh published property with primary/media images; agency branding/localization; assigned and unassigned agents.
2. Sign in/use role: Exercise every listed role plus an unauthenticated caller.
3. Navigate to Property details distribution panel and social media handoff and capture the initial UI/API/database state.
4. Execute: Owners/managers can distribute tenant properties; agents only assigned properties; public can use an active short link without accessing management data.
5. Inspect the network request/response against: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
6. Refresh/re-query the feature and related modules: Property/public eligibility, media, localization, social posts, public inquiry/site-visit attribution.
7. Verify affected models (PropertyDistributionLink, PropertyEvent, SocialPost, PropertyMedia, Property)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Property/public eligibility, media, localization, social posts, public inquiry/site-visit attribution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DIST-004</x:v>
      </x:c>
      <x:c r="B8" s="47" t="str">
        <x:v>Listing Distribution Toolkit</x:v>
      </x:c>
      <x:c r="C8" s="47" t="str">
        <x:v>Listing Distribution Toolkit</x:v>
      </x:c>
      <x:c r="D8" s="47" t="str">
        <x:v>Prevent cross-tenant access in Listing Distribution Toolkit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Listing Distribution Toolkit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Fresh published property with primary/media images; agency branding/localization; assigned and unassigned agents.</x:v>
      </x:c>
      <x:c r="L8" s="47" t="str">
        <x:v>Nepali/English captions; attribution source/medium/campaign; asset types image, story, brochure, window-card, QR, CSV, media packages.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Fresh published property with primary/media images; agency branding/localization; assigned and unassigned agents.
2. Sign in/use role: Agency A authenticated user and Agency B fixture.
3. Navigate to Property details distribution panel and social media handoff and capture the initial UI/API/database state.
4. Execute: Substitute Agency B object IDs, related IDs, slugs, files and filter parameters into every Agency A list/detail/create/update/delete/action request.
5. Inspect the network request/response against: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
6. Refresh/re-query the feature and related modules: Property/public eligibility, media, localization, social posts, public inquiry/site-visit attribution.
7. Verify affected models (PropertyDistributionLink, PropertyEvent, SocialPost, PropertyMedia, Property)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Property/public eligibility, media, localization, social posts, public inquiry/site-visit attribution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DIST-005</x:v>
      </x:c>
      <x:c r="B9" s="47" t="str">
        <x:v>Listing Distribution Toolkit</x:v>
      </x:c>
      <x:c r="C9" s="47" t="str">
        <x:v>Listing Distribution Toolkit</x:v>
      </x:c>
      <x:c r="D9" s="47" t="str">
        <x:v>Verify Listing Distribution Toolkit list, search and filter scoping</x:v>
      </x:c>
      <x:c r="E9" s="47" t="str">
        <x:v>Portal export honors selected IDs and tenant/agent property scope.</x:v>
      </x:c>
      <x:c r="F9" s="47" t="str">
        <x:v>Verify Listing Distribution Toolkit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Fresh published property with primary/media images; agency branding/localization; assigned and unassigned agents.</x:v>
      </x:c>
      <x:c r="L9" s="47" t="str">
        <x:v>Nepali/English captions; attribution source/medium/campaign; asset types image, story, brochure, window-card, QR, CSV, media packages.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Fresh published property with primary/media images; agency branding/localization; assigned and unassigned agents.
2. Sign in/use role: Agency Owner.
3. Navigate to Property details distribution panel and social media handoff and capture the initial UI/API/database state.
4. Execute: Portal export honors selected IDs and tenant/agent property scope.
5. Inspect the network request/response against: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
6. Refresh/re-query the feature and related modules: Property/public eligibility, media, localization, social posts, public inquiry/site-visit attribution.
7. Verify affected models (PropertyDistributionLink, PropertyEvent, SocialPost, PropertyMedia, Property)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Property/public eligibility, media, localization, social posts, public inquiry/site-visit attribution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DIST-006</x:v>
      </x:c>
      <x:c r="B10" s="47" t="str">
        <x:v>Listing Distribution Toolkit</x:v>
      </x:c>
      <x:c r="C10" s="47" t="str">
        <x:v>Listing Distribution Toolkit</x:v>
      </x:c>
      <x:c r="D10" s="47" t="str">
        <x:v>Test duplicate submission and idempotency for Listing Distribution Toolkit</x:v>
      </x:c>
      <x:c r="E10" s="47" t="str">
        <x:v>Double-click/submit identical requests sequentially and concurrently. Current rule: One redirect increments click counters/events once per request; repeated asset generation must not duplicate properties/media. No download idempotency guarantee is required.</x:v>
      </x:c>
      <x:c r="F10" s="47" t="str">
        <x:v>Test duplicate submission and idempotency for Listing Distribution Toolkit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Fresh published property with primary/media images; agency branding/localization; assigned and unassigned agents.</x:v>
      </x:c>
      <x:c r="L10" s="47" t="str">
        <x:v>Nepali/English captions; attribution source/medium/campaign; asset types image, story, brochure, window-card, QR, CSV, media packages.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Fresh published property with primary/media images; agency branding/localization; assigned and unassigned agents.
2. Sign in/use role: Agency Owner.
3. Navigate to Property details distribution panel and social media handoff and capture the initial UI/API/database state.
4. Execute: Double-click/submit identical requests sequentially and concurrently. Current rule: One redirect increments click counters/events once per request; repeated asset generation must not duplicate properties/media. No download idempotency guarantee is required.
5. Inspect the network request/response against: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
6. Refresh/re-query the feature and related modules: Property/public eligibility, media, localization, social posts, public inquiry/site-visit attribution.
7. Verify affected models (PropertyDistributionLink, PropertyEvent, SocialPost, PropertyMedia, Property)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Property/public eligibility, media, localization, social posts, public inquiry/site-visit attribution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DIST-007</x:v>
      </x:c>
      <x:c r="B11" s="47" t="str">
        <x:v>Listing Distribution Toolkit</x:v>
      </x:c>
      <x:c r="C11" s="47" t="str">
        <x:v>Listing Distribution Toolkit</x:v>
      </x:c>
      <x:c r="D11" s="47" t="str">
        <x:v>Verify deletion and dependency behavior for Listing Distribution Toolkit</x:v>
      </x:c>
      <x:c r="E11" s="47" t="str">
        <x:v>Delete an unreferenced record, a referenced record, a foreign-tenant record, and an already-deleted ID. Current rule: Deleting a management link disables its code; generated transient assets should not alter source media/property.</x:v>
      </x:c>
      <x:c r="F11" s="47" t="str">
        <x:v>Verify deletion and dependency behavior for Listing Distribution Toolkit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Fresh published property with primary/media images; agency branding/localization; assigned and unassigned agents.</x:v>
      </x:c>
      <x:c r="L11" s="47" t="str">
        <x:v>Nepali/English captions; attribution source/medium/campaign; asset types image, story, brochure, window-card, QR, CSV, media packages.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Fresh published property with primary/media images; agency branding/localization; assigned and unassigned agents.
2. Sign in/use role: Agency Owner or Agency Manager.
3. Navigate to Property details distribution panel and social media handoff and capture the initial UI/API/database state.
4. Execute: Delete an unreferenced record, a referenced record, a foreign-tenant record, and an already-deleted ID. Current rule: Deleting a management link disables its code; generated transient assets should not alter source media/property.
5. Inspect the network request/response against: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
6. Refresh/re-query the feature and related modules: Property/public eligibility, media, localization, social posts, public inquiry/site-visit attribution.
7. Verify affected models (PropertyDistributionLink, PropertyEvent, SocialPost, PropertyMedia, Property)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Property/public eligibility, media, localization, social posts, public inquiry/site-visit attribution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DIST-008</x:v>
      </x:c>
      <x:c r="B12" s="47" t="str">
        <x:v>Listing Distribution Toolkit</x:v>
      </x:c>
      <x:c r="C12" s="47" t="str">
        <x:v>Listing Distribution Toolkit</x:v>
      </x:c>
      <x:c r="D12" s="47" t="str">
        <x:v>Recover cleanly from API/network failure during Listing Distribution Toolkit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Listing Distribution Toolkit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Fresh published property with primary/media images; agency branding/localization; assigned and unassigned agents.</x:v>
      </x:c>
      <x:c r="L12" s="47" t="str">
        <x:v>Nepali/English captions; attribution source/medium/campaign; asset types image, story, brochure, window-card, QR, CSV, media packages.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Fresh published property with primary/media images; agency branding/localization; assigned and unassigned agents.
2. Sign in/use role: Agency Owner.
3. Navigate to Property details distribution panel and social media handoff and capture the initial UI/API/database state.
4. Execute: Simulate timeout, offline browser, 500 response, expired access token and failed refresh while submitting the primary workflow.
5. Inspect the network request/response against: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
6. Refresh/re-query the feature and related modules: Property/public eligibility, media, localization, social posts, public inquiry/site-visit attribution.
7. Verify affected models (PropertyDistributionLink, PropertyEvent, SocialPost, PropertyMedia, Property)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Property/public eligibility, media, localization, social posts, public inquiry/site-visit attribution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DIST-009</x:v>
      </x:c>
      <x:c r="B13" s="47" t="str">
        <x:v>Listing Distribution Toolkit</x:v>
      </x:c>
      <x:c r="C13" s="47" t="str">
        <x:v>Listing Distribution Toolkit</x:v>
      </x:c>
      <x:c r="D13" s="47" t="str">
        <x:v>Tracked short link preserves inquiry attribution</x:v>
      </x:c>
      <x:c r="E13" s="47" t="str">
        <x:v>Open a source-tagged short link, then submit a property inquiry from the resolved page.</x:v>
      </x:c>
      <x:c r="F13" s="47" t="str">
        <x:v>Tracked short link preserves inquiry attribution</x:v>
      </x:c>
      <x:c r="G13" s="47" t="str">
        <x:v>End-to-End</x:v>
      </x:c>
      <x:c r="H13" s="53" t="str">
        <x:v>P0</x:v>
      </x:c>
      <x:c r="I13" s="53" t="str">
        <x:v>Critical</x:v>
      </x:c>
      <x:c r="J13" s="47" t="str">
        <x:v>Public visitor</x:v>
      </x:c>
      <x:c r="K13" s="47" t="str">
        <x:v>Fresh published property with primary/media images; agency branding/localization; assigned and unassigned agents.</x:v>
      </x:c>
      <x:c r="L13" s="47" t="str">
        <x:v>Nepali/English captions; attribution source/medium/campaign; asset types image, story, brochure, window-card, QR, CSV, media packages.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Fresh published property with primary/media images; agency branding/localization; assigned and unassigned agents.
2. Sign in/use role: Public visitor.
3. Navigate to Property details distribution panel and social media handoff and capture the initial UI/API/database state.
4. Execute: Open a source-tagged short link, then submit a property inquiry from the resolved page.
5. Inspect the network request/response against: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
6. Refresh/re-query the feature and related modules: Property/public eligibility, media, localization, social posts, public inquiry/site-visit attribution.
7. Verify affected models (PropertyDistributionLink, PropertyEvent, SocialPost, PropertyMedia, Property) and all listed side effects.</x:v>
      </x:c>
      <x:c r="O13" s="47" t="str">
        <x:v>Link click and inquiry share the expected distribution source/medium/campaign attribution.</x:v>
      </x:c>
      <x:c r="P13" s="47" t="str">
        <x:v>click_count +1; PropertyEvent click + inquiry; Lead/interest attribution fields set without duplicate lead.</x:v>
      </x:c>
      <x:c r="Q13" s="47" t="str">
        <x:v>GET short link redirects; inquiry POST returns created/reused response.</x:v>
      </x:c>
      <x:c r="R13" s="47" t="str">
        <x:v>Visitor reaches the correct listing and sees successful inquiry.</x:v>
      </x:c>
      <x:c r="S13" s="47" t="str">
        <x:v>Automation assignment and dashboard source metrics use the preserved attribution.</x:v>
      </x:c>
      <x:c r="T13" s="47" t="str">
        <x:v>Property/public eligibility, media, localization, social posts, public inquiry/site-visit attribution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DIST-010</x:v>
      </x:c>
      <x:c r="B14" s="47" t="str">
        <x:v>Listing Distribution Toolkit</x:v>
      </x:c>
      <x:c r="C14" s="47" t="str">
        <x:v>Listing Distribution Toolkit</x:v>
      </x:c>
      <x:c r="D14" s="47" t="str">
        <x:v>Agent portal export includes only assigned listings</x:v>
      </x:c>
      <x:c r="E14" s="47" t="str">
        <x:v>Request portal CSV with own and another agent's property IDs.</x:v>
      </x:c>
      <x:c r="F14" s="47" t="str">
        <x:v>Agent portal export includes only assigned listings</x:v>
      </x:c>
      <x:c r="G14" s="47" t="str">
        <x:v>Permission</x:v>
      </x:c>
      <x:c r="H14" s="53" t="str">
        <x:v>P0</x:v>
      </x:c>
      <x:c r="I14" s="53" t="str">
        <x:v>Critical</x:v>
      </x:c>
      <x:c r="J14" s="47" t="str">
        <x:v>Agent</x:v>
      </x:c>
      <x:c r="K14" s="47" t="str">
        <x:v>Fresh published property with primary/media images; agency branding/localization; assigned and unassigned agents.</x:v>
      </x:c>
      <x:c r="L14" s="47" t="str">
        <x:v>Nepali/English captions; attribution source/medium/campaign; asset types image, story, brochure, window-card, QR, CSV, media packages.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Fresh published property with primary/media images; agency branding/localization; assigned and unassigned agents.
2. Sign in/use role: Agent.
3. Navigate to Property details distribution panel and social media handoff and capture the initial UI/API/database state.
4. Execute: Request portal CSV with own and another agent's property IDs.
5. Inspect the network request/response against: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
6. Refresh/re-query the feature and related modules: Property/public eligibility, media, localization, social posts, public inquiry/site-visit attribution.
7. Verify affected models (PropertyDistributionLink, PropertyEvent, SocialPost, PropertyMedia, Property) and all listed side effects.</x:v>
      </x:c>
      <x:c r="O14" s="47" t="str">
        <x:v>Export contains only listings visible to the requesting agent; no tenant/assignment leak.</x:v>
      </x:c>
      <x:c r="P14" s="47" t="str">
        <x:v>No rows change.</x:v>
      </x:c>
      <x:c r="Q14" s="47" t="str">
        <x:v>GET portal-export returns a downloadable CSV scoped to assigned properties.</x:v>
      </x:c>
      <x:c r="R14" s="47" t="str">
        <x:v>Downloaded file excludes unauthorized titles/addresses.</x:v>
      </x:c>
      <x:c r="S14" s="47" t="str">
        <x:v>No events are created merely by export.</x:v>
      </x:c>
      <x:c r="T14" s="47" t="str">
        <x:v>Property/public eligibility, media, localization, social posts, public inquiry/site-visit attribution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DIST-011</x:v>
      </x:c>
      <x:c r="B15" s="47" t="str">
        <x:v>Listing Distribution Toolkit</x:v>
      </x:c>
      <x:c r="C15" s="47" t="str">
        <x:v>Listing Distribution Toolkit</x:v>
      </x:c>
      <x:c r="D15" s="47" t="str">
        <x:v>Media package contains expected branded files</x:v>
      </x:c>
      <x:c r="E15" s="47" t="str">
        <x:v>Download watermarked and complete packages and inspect ZIP entries.</x:v>
      </x:c>
      <x:c r="F15" s="47" t="str">
        <x:v>Media package contains expected branded files</x:v>
      </x:c>
      <x:c r="G15" s="47" t="str">
        <x:v>Integration</x:v>
      </x:c>
      <x:c r="H15" s="53" t="str">
        <x:v>P1</x:v>
      </x:c>
      <x:c r="I15" s="53" t="str">
        <x:v>High</x:v>
      </x:c>
      <x:c r="J15" s="47" t="str">
        <x:v>Agency Manager</x:v>
      </x:c>
      <x:c r="K15" s="47" t="str">
        <x:v>Fresh published property with primary/media images; agency branding/localization; assigned and unassigned agents.</x:v>
      </x:c>
      <x:c r="L15" s="47" t="str">
        <x:v>Nepali/English captions; attribution source/medium/campaign; asset types image, story, brochure, window-card, QR, CSV, media packages.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Fresh published property with primary/media images; agency branding/localization; assigned and unassigned agents.
2. Sign in/use role: Agency Manager.
3. Navigate to Property details distribution panel and social media handoff and capture the initial UI/API/database state.
4. Execute: Download watermarked and complete packages and inspect ZIP entries.
5. Inspect the network request/response against: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
6. Refresh/re-query the feature and related modules: Property/public eligibility, media, localization, social posts, public inquiry/site-visit attribution.
7. Verify affected models (PropertyDistributionLink, PropertyEvent, SocialPost, PropertyMedia, Property) and all listed side effects.</x:v>
      </x:c>
      <x:c r="O15" s="47" t="str">
        <x:v>Package includes the documented source/derived media and copy files, with agency watermark/branding and safe filenames.</x:v>
      </x:c>
      <x:c r="P15" s="47" t="str">
        <x:v>No source media rows/files are modified.</x:v>
      </x:c>
      <x:c r="Q15" s="47" t="str">
        <x:v>Asset endpoint returns correct content type, filename and non-empty bytes.</x:v>
      </x:c>
      <x:c r="R15" s="47" t="str">
        <x:v>Browser download succeeds; archive opens without corruption.</x:v>
      </x:c>
      <x:c r="S15" s="47" t="str">
        <x:v>Generated contents use current localization/property data.</x:v>
      </x:c>
      <x:c r="T15" s="47" t="str">
        <x:v>Property/public eligibility, media, localization, social posts, public inquiry/site-visit attribution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DIST-012</x:v>
      </x:c>
      <x:c r="B16" s="48" t="str">
        <x:v>Listing Distribution Toolkit</x:v>
      </x:c>
      <x:c r="C16" s="48" t="str">
        <x:v>Listing Distribution Toolkit</x:v>
      </x:c>
      <x:c r="D16" s="48" t="str">
        <x:v>Deleted or disabled short link no longer resolves</x:v>
      </x:c>
      <x:c r="E16" s="48" t="str">
        <x:v>Delete the link, then request its public code and submit no-cache requests.</x:v>
      </x:c>
      <x:c r="F16" s="48" t="str">
        <x:v>Deleted or disabled short link no longer resolves</x:v>
      </x:c>
      <x:c r="G16" s="48" t="str">
        <x:v>State Transition</x:v>
      </x:c>
      <x:c r="H16" s="54" t="str">
        <x:v>P1</x:v>
      </x:c>
      <x:c r="I16" s="54" t="str">
        <x:v>High</x:v>
      </x:c>
      <x:c r="J16" s="48" t="str">
        <x:v>Agency Manager/Public visitor</x:v>
      </x:c>
      <x:c r="K16" s="48" t="str">
        <x:v>Fresh published property with primary/media images; agency branding/localization; assigned and unassigned agents.</x:v>
      </x:c>
      <x:c r="L16" s="48" t="str">
        <x:v>Nepali/English captions; attribution source/medium/campaign; asset types image, story, brochure, window-card, QR, CSV, media packages.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Fresh published property with primary/media images; agency branding/localization; assigned and unassigned agents.
2. Sign in/use role: Agency Manager/Public visitor.
3. Navigate to Property details distribution panel and social media handoff and capture the initial UI/API/database state.
4. Execute: Delete the link, then request its public code and submit no-cache requests.
5. Inspect the network request/response against: GET /api/properties/{id}/distribution/; GET/POST /api/properties/{id}/distribution/links/; PATCH/DELETE /api/properties/distribution/links/{id}/; GET /api/properties/{id}/distribution/assets/{asset_type}/; GET /api/properties/distribution/portal-export/; POST /api/properties/{id}/distribution/social-draft/; GET /api/public/s/{code}/.
6. Refresh/re-query the feature and related modules: Property/public eligibility, media, localization, social posts, public inquiry/site-visit attribution.
7. Verify affected models (PropertyDistributionLink, PropertyEvent, SocialPost, PropertyMedia, Property) and all listed side effects.</x:v>
      </x:c>
      <x:c r="O16" s="48" t="str">
        <x:v>Code no longer redirects; other links remain valid.</x:v>
      </x:c>
      <x:c r="P16" s="48" t="str">
        <x:v>DistributionLink removed/disabled; no new click/event after deletion.</x:v>
      </x:c>
      <x:c r="Q16" s="48" t="str">
        <x:v>Public code returns 404/gone according to current view.</x:v>
      </x:c>
      <x:c r="R16" s="48" t="str">
        <x:v>Visitor sees unavailable link rather than tenant detail.</x:v>
      </x:c>
      <x:c r="S16" s="48" t="str">
        <x:v>Analytics do not increment for rejected requests.</x:v>
      </x:c>
      <x:c r="T16" s="48" t="str">
        <x:v>Property/public eligibility, media, localization, social posts, public inquiry/site-visit attribution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64" priority="1">
      <x:formula>H5="P0"</x:formula>
    </x:cfRule>
    <x:cfRule type="expression" dxfId="65" priority="2">
      <x:formula>H5="P1"</x:formula>
    </x:cfRule>
    <x:cfRule type="expression" dxfId="66" priority="3">
      <x:formula>H5="P2"</x:formula>
    </x:cfRule>
    <x:cfRule type="expression" dxfId="67" priority="4">
      <x:formula>H5="P3"</x:formula>
    </x:cfRule>
  </x:conditionalFormatting>
  <x:conditionalFormatting sqref="W5:W16">
    <x:cfRule type="expression" dxfId="68" priority="5">
      <x:formula>W5="Passed"</x:formula>
    </x:cfRule>
    <x:cfRule type="expression" dxfId="69" priority="6">
      <x:formula>W5="Failed"</x:formula>
    </x:cfRule>
    <x:cfRule type="expression" dxfId="70" priority="7">
      <x:formula>W5="Blocked"</x:formula>
    </x:cfRule>
    <x:cfRule type="expression" dxfId="71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a74702372d4d4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Public Storefront and Discovery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PUB-001</x:v>
      </x:c>
      <x:c r="B5" s="46" t="str">
        <x:v>Public Storefront and Discovery</x:v>
      </x:c>
      <x:c r="C5" s="46" t="str">
        <x:v>Public Storefront and Discovery</x:v>
      </x:c>
      <x:c r="D5" s="46" t="str">
        <x:v>Complete the primary Public Storefront and Discovery workflow</x:v>
      </x:c>
      <x:c r="E5" s="46" t="str">
        <x:v>Open the agency site, filter properties, view a listing, inspect similar listings, and submit an inquiry.</x:v>
      </x:c>
      <x:c r="F5" s="46" t="str">
        <x:v>Complete the primary Public Storefront and Discovery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Anonymous public visitor</x:v>
      </x:c>
      <x:c r="K5" s="46" t="str">
        <x:v>Published and unpublished agencies; eligible/ineligible properties; public agents; browser with JS/network inspection.</x:v>
      </x:c>
      <x:c r="L5" s="46" t="str">
        <x:v>Search/filter params, property IDs/share slugs, visitor ID, UTM/referrer, inquiry/contact payloads, invalid tenant/property combinations.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Published and unpublished agencies; eligible/ineligible properties; public agents; browser with JS/network inspection.
2. Sign in/use role: Anonymous public visitor.
3. Navigate to Next.js /agency/[agencySlug] and template routes; React public /agency/:slug routes and capture the initial UI/API/database state.
4. Execute: Open the agency site, filter properties, view a listing, inspect similar listings, and submit an inquiry.
5. Inspect the network request/response against: GET public agency/agent/property/filter/similar endpoints; POST public contact/inquiry/event/site-visit endpoints.
6. Refresh/re-query the feature and related modules: Agency publishing, property freshness, localization, leads/automation, customer portal, analytics.
7. Verify affected models (Agency, Property, PropertyMedia, PropertyEvent, PublicSubmission, Lead, LeadPropertyInterest, LeadInteraction) and all listed side effects.</x:v>
      </x:c>
      <x:c r="O5" s="46" t="str">
        <x:v>Only eligible tenant content appears; public payload is safe; view/inquiry events and CRM records are created with attribution.</x:v>
      </x:c>
      <x:c r="P5" s="46" t="str">
        <x:v>Reads are unchanged; accepted inquiry adds/reuses Lead/Interest/Interaction and PropertyEvent; contact adds submission/lead as implemented.</x:v>
      </x:c>
      <x:c r="Q5" s="46" t="str">
        <x:v>Use the documented routes: GET public agency/agent/property/filter/similar endpoints; POST public contact/inquiry/event/site-visit endpoints. Successful create operations return 201, reads/updates/actions 200, and deletes 204 where provided; capture exact endpoint-specific response.</x:v>
      </x:c>
      <x:c r="R5" s="46" t="str">
        <x:v>Start at Next.js /agency/[agencySlug] and template routes; React public /agency/:slug routes. The visible state must match the saved API response after refresh.</x:v>
      </x:c>
      <x:c r="S5" s="46" t="str">
        <x:v>Lead automation, notifications, dashboard/event analytics and agent workload may change.</x:v>
      </x:c>
      <x:c r="T5" s="46" t="str">
        <x:v>Agency publishing, property freshness, localization, leads/automation, customer portal, analytics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PUB-002</x:v>
      </x:c>
      <x:c r="B6" s="47" t="str">
        <x:v>Public Storefront and Discovery</x:v>
      </x:c>
      <x:c r="C6" s="47" t="str">
        <x:v>Public Storefront and Discovery</x:v>
      </x:c>
      <x:c r="D6" s="47" t="str">
        <x:v>Reject invalid or missing Public Storefront and Discovery inputs</x:v>
      </x:c>
      <x:c r="E6" s="47" t="str">
        <x:v>Reject inactive/unpaid/unpublished agency, draft/sold/rented/expired/unpublished property, cross-agency property ID, malformed inquiry and abusive request rate.</x:v>
      </x:c>
      <x:c r="F6" s="47" t="str">
        <x:v>Reject invalid or missing Public Storefront and Discovery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Anonymous public visitor</x:v>
      </x:c>
      <x:c r="K6" s="47" t="str">
        <x:v>Published and unpublished agencies; eligible/ineligible properties; public agents; browser with JS/network inspection.</x:v>
      </x:c>
      <x:c r="L6" s="47" t="str">
        <x:v>Search/filter params, property IDs/share slugs, visitor ID, UTM/referrer, inquiry/contact payloads, invalid tenant/property combinations.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Published and unpublished agencies; eligible/ineligible properties; public agents; browser with JS/network inspection.
2. Sign in/use role: Anonymous public visitor.
3. Navigate to Next.js /agency/[agencySlug] and template routes; React public /agency/:slug routes and capture the initial UI/API/database state.
4. Execute: Reject inactive/unpaid/unpublished agency, draft/sold/rented/expired/unpublished property, cross-agency property ID, malformed inquiry and abusive request rate.
5. Inspect the network request/response against: GET public agency/agent/property/filter/similar endpoints; POST public contact/inquiry/event/site-visit endpoints.
6. Refresh/re-query the feature and related modules: Agency publishing, property freshness, localization, leads/automation, customer portal, analytics.
7. Verify affected models (Agency, Property, PropertyMedia, PropertyEvent, PublicSubmission, Lead, LeadPropertyInterest, LeadInteraction)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Agency publishing, property freshness, localization, leads/automation, customer portal, analytics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PUB-003</x:v>
      </x:c>
      <x:c r="B7" s="47" t="str">
        <x:v>Public Storefront and Discovery</x:v>
      </x:c>
      <x:c r="C7" s="47" t="str">
        <x:v>Public Storefront and Discovery</x:v>
      </x:c>
      <x:c r="D7" s="47" t="str">
        <x:v>Enforce Public Storefront and Discovery role permissions</x:v>
      </x:c>
      <x:c r="E7" s="47" t="str">
        <x:v>Anonymous reads/actions only use public endpoints; no internal IDs/data beyond serialized public contracts; customer-only save actions require a customer token.</x:v>
      </x:c>
      <x:c r="F7" s="47" t="str">
        <x:v>Enforce Public Storefront and Discovery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Published and unpublished agencies; eligible/ineligible properties; public agents; browser with JS/network inspection.</x:v>
      </x:c>
      <x:c r="L7" s="47" t="str">
        <x:v>Search/filter params, property IDs/share slugs, visitor ID, UTM/referrer, inquiry/contact payloads, invalid tenant/property combinations.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Published and unpublished agencies; eligible/ineligible properties; public agents; browser with JS/network inspection.
2. Sign in/use role: Exercise every listed role plus an unauthenticated caller.
3. Navigate to Next.js /agency/[agencySlug] and template routes; React public /agency/:slug routes and capture the initial UI/API/database state.
4. Execute: Anonymous reads/actions only use public endpoints; no internal IDs/data beyond serialized public contracts; customer-only save actions require a customer token.
5. Inspect the network request/response against: GET public agency/agent/property/filter/similar endpoints; POST public contact/inquiry/event/site-visit endpoints.
6. Refresh/re-query the feature and related modules: Agency publishing, property freshness, localization, leads/automation, customer portal, analytics.
7. Verify affected models (Agency, Property, PropertyMedia, PropertyEvent, PublicSubmission, Lead, LeadPropertyInterest, LeadInteraction)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Agency publishing, property freshness, localization, leads/automation, customer portal, analytics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PUB-004</x:v>
      </x:c>
      <x:c r="B8" s="47" t="str">
        <x:v>Public Storefront and Discovery</x:v>
      </x:c>
      <x:c r="C8" s="47" t="str">
        <x:v>Public Storefront and Discovery</x:v>
      </x:c>
      <x:c r="D8" s="47" t="str">
        <x:v>Prevent cross-tenant access in Public Storefront and Discovery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Public Storefront and Discovery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Published and unpublished agencies; eligible/ineligible properties; public agents; browser with JS/network inspection.</x:v>
      </x:c>
      <x:c r="L8" s="47" t="str">
        <x:v>Search/filter params, property IDs/share slugs, visitor ID, UTM/referrer, inquiry/contact payloads, invalid tenant/property combinations.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Published and unpublished agencies; eligible/ineligible properties; public agents; browser with JS/network inspection.
2. Sign in/use role: Agency A authenticated user and Agency B fixture.
3. Navigate to Next.js /agency/[agencySlug] and template routes; React public /agency/:slug routes and capture the initial UI/API/database state.
4. Execute: Substitute Agency B object IDs, related IDs, slugs, files and filter parameters into every Agency A list/detail/create/update/delete/action request.
5. Inspect the network request/response against: GET public agency/agent/property/filter/similar endpoints; POST public contact/inquiry/event/site-visit endpoints.
6. Refresh/re-query the feature and related modules: Agency publishing, property freshness, localization, leads/automation, customer portal, analytics.
7. Verify affected models (Agency, Property, PropertyMedia, PropertyEvent, PublicSubmission, Lead, LeadPropertyInterest, LeadInteraction)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Agency publishing, property freshness, localization, leads/automation, customer portal, analytics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PUB-005</x:v>
      </x:c>
      <x:c r="B9" s="47" t="str">
        <x:v>Public Storefront and Discovery</x:v>
      </x:c>
      <x:c r="C9" s="47" t="str">
        <x:v>Public Storefront and Discovery</x:v>
      </x:c>
      <x:c r="D9" s="47" t="str">
        <x:v>Verify Public Storefront and Discovery list, search and filter scoping</x:v>
      </x:c>
      <x:c r="E9" s="47" t="str">
        <x:v>Property filters and similar results stay within the resolved agency and public eligibility queryset.</x:v>
      </x:c>
      <x:c r="F9" s="47" t="str">
        <x:v>Verify Public Storefront and Discovery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Anonymous public visitor</x:v>
      </x:c>
      <x:c r="K9" s="47" t="str">
        <x:v>Published and unpublished agencies; eligible/ineligible properties; public agents; browser with JS/network inspection.</x:v>
      </x:c>
      <x:c r="L9" s="47" t="str">
        <x:v>Search/filter params, property IDs/share slugs, visitor ID, UTM/referrer, inquiry/contact payloads, invalid tenant/property combinations.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Published and unpublished agencies; eligible/ineligible properties; public agents; browser with JS/network inspection.
2. Sign in/use role: Anonymous public visitor.
3. Navigate to Next.js /agency/[agencySlug] and template routes; React public /agency/:slug routes and capture the initial UI/API/database state.
4. Execute: Property filters and similar results stay within the resolved agency and public eligibility queryset.
5. Inspect the network request/response against: GET public agency/agent/property/filter/similar endpoints; POST public contact/inquiry/event/site-visit endpoints.
6. Refresh/re-query the feature and related modules: Agency publishing, property freshness, localization, leads/automation, customer portal, analytics.
7. Verify affected models (Agency, Property, PropertyMedia, PropertyEvent, PublicSubmission, Lead, LeadPropertyInterest, LeadInteraction)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Agency publishing, property freshness, localization, leads/automation, customer portal, analytics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PUB-006</x:v>
      </x:c>
      <x:c r="B10" s="47" t="str">
        <x:v>Public Storefront and Discovery</x:v>
      </x:c>
      <x:c r="C10" s="47" t="str">
        <x:v>Public Storefront and Discovery</x:v>
      </x:c>
      <x:c r="D10" s="47" t="str">
        <x:v>Test duplicate submission and idempotency for Public Storefront and Discovery</x:v>
      </x:c>
      <x:c r="E10" s="47" t="str">
        <x:v>Double-click/submit identical requests sequentially and concurrently. Current rule: Duplicate inquiry reuses lead/interest per current deduplication logic; view event endpoint may record every accepted event by design.</x:v>
      </x:c>
      <x:c r="F10" s="47" t="str">
        <x:v>Test duplicate submission and idempotency for Public Storefront and Discovery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Anonymous public visitor</x:v>
      </x:c>
      <x:c r="K10" s="47" t="str">
        <x:v>Published and unpublished agencies; eligible/ineligible properties; public agents; browser with JS/network inspection.</x:v>
      </x:c>
      <x:c r="L10" s="47" t="str">
        <x:v>Search/filter params, property IDs/share slugs, visitor ID, UTM/referrer, inquiry/contact payloads, invalid tenant/property combinations.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Published and unpublished agencies; eligible/ineligible properties; public agents; browser with JS/network inspection.
2. Sign in/use role: Anonymous public visitor.
3. Navigate to Next.js /agency/[agencySlug] and template routes; React public /agency/:slug routes and capture the initial UI/API/database state.
4. Execute: Double-click/submit identical requests sequentially and concurrently. Current rule: Duplicate inquiry reuses lead/interest per current deduplication logic; view event endpoint may record every accepted event by design.
5. Inspect the network request/response against: GET public agency/agent/property/filter/similar endpoints; POST public contact/inquiry/event/site-visit endpoints.
6. Refresh/re-query the feature and related modules: Agency publishing, property freshness, localization, leads/automation, customer portal, analytics.
7. Verify affected models (Agency, Property, PropertyMedia, PropertyEvent, PublicSubmission, Lead, LeadPropertyInterest, LeadInteraction)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Agency publishing, property freshness, localization, leads/automation, customer portal, analytics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PUB-007</x:v>
      </x:c>
      <x:c r="B11" s="47" t="str">
        <x:v>Public Storefront and Discovery</x:v>
      </x:c>
      <x:c r="C11" s="47" t="str">
        <x:v>Public Storefront and Discovery</x:v>
      </x:c>
      <x:c r="D11" s="47" t="str">
        <x:v>Verify deletion and dependency behavior for Public Storefront and Discovery</x:v>
      </x:c>
      <x:c r="E11" s="47" t="str">
        <x:v>Delete an unreferenced record, a referenced record, a foreign-tenant record, and an already-deleted ID. Current rule: Public delete is unavailable; reports and inquiries add records without changing property ownership/status.</x:v>
      </x:c>
      <x:c r="F11" s="47" t="str">
        <x:v>Verify deletion and dependency behavior for Public Storefront and Discovery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Published and unpublished agencies; eligible/ineligible properties; public agents; browser with JS/network inspection.</x:v>
      </x:c>
      <x:c r="L11" s="47" t="str">
        <x:v>Search/filter params, property IDs/share slugs, visitor ID, UTM/referrer, inquiry/contact payloads, invalid tenant/property combinations.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Published and unpublished agencies; eligible/ineligible properties; public agents; browser with JS/network inspection.
2. Sign in/use role: Agency Owner or Agency Manager.
3. Navigate to Next.js /agency/[agencySlug] and template routes; React public /agency/:slug routes and capture the initial UI/API/database state.
4. Execute: Delete an unreferenced record, a referenced record, a foreign-tenant record, and an already-deleted ID. Current rule: Public delete is unavailable; reports and inquiries add records without changing property ownership/status.
5. Inspect the network request/response against: GET public agency/agent/property/filter/similar endpoints; POST public contact/inquiry/event/site-visit endpoints.
6. Refresh/re-query the feature and related modules: Agency publishing, property freshness, localization, leads/automation, customer portal, analytics.
7. Verify affected models (Agency, Property, PropertyMedia, PropertyEvent, PublicSubmission, Lead, LeadPropertyInterest, LeadInteraction)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Agency publishing, property freshness, localization, leads/automation, customer portal, analytics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PUB-008</x:v>
      </x:c>
      <x:c r="B12" s="47" t="str">
        <x:v>Public Storefront and Discovery</x:v>
      </x:c>
      <x:c r="C12" s="47" t="str">
        <x:v>Public Storefront and Discovery</x:v>
      </x:c>
      <x:c r="D12" s="47" t="str">
        <x:v>Recover cleanly from API/network failure during Public Storefront and Discovery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Public Storefront and Discovery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Anonymous public visitor</x:v>
      </x:c>
      <x:c r="K12" s="47" t="str">
        <x:v>Published and unpublished agencies; eligible/ineligible properties; public agents; browser with JS/network inspection.</x:v>
      </x:c>
      <x:c r="L12" s="47" t="str">
        <x:v>Search/filter params, property IDs/share slugs, visitor ID, UTM/referrer, inquiry/contact payloads, invalid tenant/property combinations.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Published and unpublished agencies; eligible/ineligible properties; public agents; browser with JS/network inspection.
2. Sign in/use role: Anonymous public visitor.
3. Navigate to Next.js /agency/[agencySlug] and template routes; React public /agency/:slug routes and capture the initial UI/API/database state.
4. Execute: Simulate timeout, offline browser, 500 response, expired access token and failed refresh while submitting the primary workflow.
5. Inspect the network request/response against: GET public agency/agent/property/filter/similar endpoints; POST public contact/inquiry/event/site-visit endpoints.
6. Refresh/re-query the feature and related modules: Agency publishing, property freshness, localization, leads/automation, customer portal, analytics.
7. Verify affected models (Agency, Property, PropertyMedia, PropertyEvent, PublicSubmission, Lead, LeadPropertyInterest, LeadInteraction)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Agency publishing, property freshness, localization, leads/automation, customer portal, analytics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PUB-009</x:v>
      </x:c>
      <x:c r="B13" s="47" t="str">
        <x:v>Public Storefront and Discovery</x:v>
      </x:c>
      <x:c r="C13" s="47" t="str">
        <x:v>Public Storefront and Discovery</x:v>
      </x:c>
      <x:c r="D13" s="47" t="str">
        <x:v>Inactive agency properties are never public</x:v>
      </x:c>
      <x:c r="E13" s="47" t="str">
        <x:v>Query list/detail/share slug after Agency is suspended or subscription becomes inactive.</x:v>
      </x:c>
      <x:c r="F13" s="47" t="str">
        <x:v>Inactive agency properties are never public</x:v>
      </x:c>
      <x:c r="G13" s="47" t="str">
        <x:v>Security</x:v>
      </x:c>
      <x:c r="H13" s="53" t="str">
        <x:v>P0</x:v>
      </x:c>
      <x:c r="I13" s="53" t="str">
        <x:v>Critical</x:v>
      </x:c>
      <x:c r="J13" s="47" t="str">
        <x:v>Public visitor</x:v>
      </x:c>
      <x:c r="K13" s="47" t="str">
        <x:v>Published and unpublished agencies; eligible/ineligible properties; public agents; browser with JS/network inspection.</x:v>
      </x:c>
      <x:c r="L13" s="47" t="str">
        <x:v>Search/filter params, property IDs/share slugs, visitor ID, UTM/referrer, inquiry/contact payloads, invalid tenant/property combinations.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Published and unpublished agencies; eligible/ineligible properties; public agents; browser with JS/network inspection.
2. Sign in/use role: Public visitor.
3. Navigate to Next.js /agency/[agencySlug] and template routes; React public /agency/:slug routes and capture the initial UI/API/database state.
4. Execute: Query list/detail/share slug after Agency is suspended or subscription becomes inactive.
5. Inspect the network request/response against: GET public agency/agent/property/filter/similar endpoints; POST public contact/inquiry/event/site-visit endpoints.
6. Refresh/re-query the feature and related modules: Agency publishing, property freshness, localization, leads/automation, customer portal, analytics.
7. Verify affected models (Agency, Property, PropertyMedia, PropertyEvent, PublicSubmission, Lead, LeadPropertyInterest, LeadInteraction) and all listed side effects.</x:v>
      </x:c>
      <x:c r="O13" s="47" t="str">
        <x:v>All public property access is excluded even when Property.is_published remains true.</x:v>
      </x:c>
      <x:c r="P13" s="47" t="str">
        <x:v>No rows change.</x:v>
      </x:c>
      <x:c r="Q13" s="47" t="str">
        <x:v>Public endpoints return empty/404; existing authenticated JWT also fails entitlement check.</x:v>
      </x:c>
      <x:c r="R13" s="47" t="str">
        <x:v>Site shows unavailable/not found and no stale listing card.</x:v>
      </x:c>
      <x:c r="S13" s="47" t="str">
        <x:v>Search engines and short links cannot bypass the gate.</x:v>
      </x:c>
      <x:c r="T13" s="47" t="str">
        <x:v>Agency publishing, property freshness, localization, leads/automation, customer portal, analytics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PUB-010</x:v>
      </x:c>
      <x:c r="B14" s="47" t="str">
        <x:v>Public Storefront and Discovery</x:v>
      </x:c>
      <x:c r="C14" s="47" t="str">
        <x:v>Public Storefront and Discovery</x:v>
      </x:c>
      <x:c r="D14" s="47" t="str">
        <x:v>Duplicate public inquiry reuses lead and interest</x:v>
      </x:c>
      <x:c r="E14" s="47" t="str">
        <x:v>Submit the same normalized phone/email inquiry twice for one property.</x:v>
      </x:c>
      <x:c r="F14" s="47" t="str">
        <x:v>Duplicate public inquiry reuses lead and interest</x:v>
      </x:c>
      <x:c r="G14" s="47" t="str">
        <x:v>Idempotency</x:v>
      </x:c>
      <x:c r="H14" s="53" t="str">
        <x:v>P0</x:v>
      </x:c>
      <x:c r="I14" s="53" t="str">
        <x:v>Critical</x:v>
      </x:c>
      <x:c r="J14" s="47" t="str">
        <x:v>Public visitor</x:v>
      </x:c>
      <x:c r="K14" s="47" t="str">
        <x:v>Published and unpublished agencies; eligible/ineligible properties; public agents; browser with JS/network inspection.</x:v>
      </x:c>
      <x:c r="L14" s="47" t="str">
        <x:v>Search/filter params, property IDs/share slugs, visitor ID, UTM/referrer, inquiry/contact payloads, invalid tenant/property combinations.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Published and unpublished agencies; eligible/ineligible properties; public agents; browser with JS/network inspection.
2. Sign in/use role: Public visitor.
3. Navigate to Next.js /agency/[agencySlug] and template routes; React public /agency/:slug routes and capture the initial UI/API/database state.
4. Execute: Submit the same normalized phone/email inquiry twice for one property.
5. Inspect the network request/response against: GET public agency/agent/property/filter/similar endpoints; POST public contact/inquiry/event/site-visit endpoints.
6. Refresh/re-query the feature and related modules: Agency publishing, property freshness, localization, leads/automation, customer portal, analytics.
7. Verify affected models (Agency, Property, PropertyMedia, PropertyEvent, PublicSubmission, Lead, LeadPropertyInterest, LeadInteraction) and all listed side effects.</x:v>
      </x:c>
      <x:c r="O14" s="47" t="str">
        <x:v>Current deduplication reuses the existing lead and property interest while retaining appropriate interaction/event evidence.</x:v>
      </x:c>
      <x:c r="P14" s="47" t="str">
        <x:v>Lead count stays 1; interest count stays 1; interaction/event behavior matches service implementation.</x:v>
      </x:c>
      <x:c r="Q14" s="47" t="str">
        <x:v>Both POSTs succeed with created/reused semantics and no 500.</x:v>
      </x:c>
      <x:c r="R14" s="47" t="str">
        <x:v>Confirmation appears without duplicate visible CRM lead.</x:v>
      </x:c>
      <x:c r="S14" s="47" t="str">
        <x:v>Automation must not double-assign or double-alert unnecessarily.</x:v>
      </x:c>
      <x:c r="T14" s="47" t="str">
        <x:v>Agency publishing, property freshness, localization, leads/automation, customer portal, analytics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PUB-011</x:v>
      </x:c>
      <x:c r="B15" s="47" t="str">
        <x:v>Public Storefront and Discovery</x:v>
      </x:c>
      <x:c r="C15" s="47" t="str">
        <x:v>Public Storefront and Discovery</x:v>
      </x:c>
      <x:c r="D15" s="47" t="str">
        <x:v>Public filter options exclude private inventory</x:v>
      </x:c>
      <x:c r="E15" s="47" t="str">
        <x:v>Create unique city/type values only on draft/expired properties, then fetch filter options.</x:v>
      </x:c>
      <x:c r="F15" s="47" t="str">
        <x:v>Public filter options exclude private inventory</x:v>
      </x:c>
      <x:c r="G15" s="47" t="str">
        <x:v>Security</x:v>
      </x:c>
      <x:c r="H15" s="53" t="str">
        <x:v>P1</x:v>
      </x:c>
      <x:c r="I15" s="53" t="str">
        <x:v>High</x:v>
      </x:c>
      <x:c r="J15" s="47" t="str">
        <x:v>Public visitor</x:v>
      </x:c>
      <x:c r="K15" s="47" t="str">
        <x:v>Published and unpublished agencies; eligible/ineligible properties; public agents; browser with JS/network inspection.</x:v>
      </x:c>
      <x:c r="L15" s="47" t="str">
        <x:v>Search/filter params, property IDs/share slugs, visitor ID, UTM/referrer, inquiry/contact payloads, invalid tenant/property combinations.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Published and unpublished agencies; eligible/ineligible properties; public agents; browser with JS/network inspection.
2. Sign in/use role: Public visitor.
3. Navigate to Next.js /agency/[agencySlug] and template routes; React public /agency/:slug routes and capture the initial UI/API/database state.
4. Execute: Create unique city/type values only on draft/expired properties, then fetch filter options.
5. Inspect the network request/response against: GET public agency/agent/property/filter/similar endpoints; POST public contact/inquiry/event/site-visit endpoints.
6. Refresh/re-query the feature and related modules: Agency publishing, property freshness, localization, leads/automation, customer portal, analytics.
7. Verify affected models (Agency, Property, PropertyMedia, PropertyEvent, PublicSubmission, Lead, LeadPropertyInterest, LeadInteraction) and all listed side effects.</x:v>
      </x:c>
      <x:c r="O15" s="47" t="str">
        <x:v>Private-only values are not leaked through filter facets.</x:v>
      </x:c>
      <x:c r="P15" s="47" t="str">
        <x:v>No rows change.</x:v>
      </x:c>
      <x:c r="Q15" s="47" t="str">
        <x:v>GET public filter-options returns values from eligible queryset only.</x:v>
      </x:c>
      <x:c r="R15" s="47" t="str">
        <x:v>Filter controls omit the private values.</x:v>
      </x:c>
      <x:c r="S15" s="47" t="str">
        <x:v>No inference of hidden stock.</x:v>
      </x:c>
      <x:c r="T15" s="47" t="str">
        <x:v>Agency publishing, property freshness, localization, leads/automation, customer portal, analytics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PUB-012</x:v>
      </x:c>
      <x:c r="B16" s="48" t="str">
        <x:v>Public Storefront and Discovery</x:v>
      </x:c>
      <x:c r="C16" s="48" t="str">
        <x:v>Public Storefront and Discovery</x:v>
      </x:c>
      <x:c r="D16" s="48" t="str">
        <x:v>Property event validation and attribution</x:v>
      </x:c>
      <x:c r="E16" s="48" t="str">
        <x:v>Send valid view/call/WhatsApp/Viber events and an invalid event type with UTM/referrer.</x:v>
      </x:c>
      <x:c r="F16" s="48" t="str">
        <x:v>Property event validation and attribution</x:v>
      </x:c>
      <x:c r="G16" s="48" t="str">
        <x:v>API</x:v>
      </x:c>
      <x:c r="H16" s="54" t="str">
        <x:v>P1</x:v>
      </x:c>
      <x:c r="I16" s="54" t="str">
        <x:v>High</x:v>
      </x:c>
      <x:c r="J16" s="48" t="str">
        <x:v>Public visitor</x:v>
      </x:c>
      <x:c r="K16" s="48" t="str">
        <x:v>Published and unpublished agencies; eligible/ineligible properties; public agents; browser with JS/network inspection.</x:v>
      </x:c>
      <x:c r="L16" s="48" t="str">
        <x:v>Search/filter params, property IDs/share slugs, visitor ID, UTM/referrer, inquiry/contact payloads, invalid tenant/property combinations.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Published and unpublished agencies; eligible/ineligible properties; public agents; browser with JS/network inspection.
2. Sign in/use role: Public visitor.
3. Navigate to Next.js /agency/[agencySlug] and template routes; React public /agency/:slug routes and capture the initial UI/API/database state.
4. Execute: Send valid view/call/WhatsApp/Viber events and an invalid event type with UTM/referrer.
5. Inspect the network request/response against: GET public agency/agent/property/filter/similar endpoints; POST public contact/inquiry/event/site-visit endpoints.
6. Refresh/re-query the feature and related modules: Agency publishing, property freshness, localization, leads/automation, customer portal, analytics.
7. Verify affected models (Agency, Property, PropertyMedia, PropertyEvent, PublicSubmission, Lead, LeadPropertyInterest, LeadInteraction) and all listed side effects.</x:v>
      </x:c>
      <x:c r="O16" s="48" t="str">
        <x:v>Valid events persist against the correct tenant property; invalid type is rejected.</x:v>
      </x:c>
      <x:c r="P16" s="48" t="str">
        <x:v>PropertyEvent +1 per valid accepted call; none for invalid/cross-tenant call.</x:v>
      </x:c>
      <x:c r="Q16" s="48" t="str">
        <x:v>POST events returns success for choices and 400/404 for invalid scope/type.</x:v>
      </x:c>
      <x:c r="R16" s="48" t="str">
        <x:v>Navigation/click action continues even if noncritical analytics fails gracefully.</x:v>
      </x:c>
      <x:c r="S16" s="48" t="str">
        <x:v>Dashboard/event reports reflect accepted events.</x:v>
      </x:c>
      <x:c r="T16" s="48" t="str">
        <x:v>Agency publishing, property freshness, localization, leads/automation, customer portal, analytics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72" priority="1">
      <x:formula>H5="P0"</x:formula>
    </x:cfRule>
    <x:cfRule type="expression" dxfId="73" priority="2">
      <x:formula>H5="P1"</x:formula>
    </x:cfRule>
    <x:cfRule type="expression" dxfId="74" priority="3">
      <x:formula>H5="P2"</x:formula>
    </x:cfRule>
    <x:cfRule type="expression" dxfId="75" priority="4">
      <x:formula>H5="P3"</x:formula>
    </x:cfRule>
  </x:conditionalFormatting>
  <x:conditionalFormatting sqref="W5:W16">
    <x:cfRule type="expression" dxfId="76" priority="5">
      <x:formula>W5="Passed"</x:formula>
    </x:cfRule>
    <x:cfRule type="expression" dxfId="77" priority="6">
      <x:formula>W5="Failed"</x:formula>
    </x:cfRule>
    <x:cfRule type="expression" dxfId="78" priority="7">
      <x:formula>W5="Blocked"</x:formula>
    </x:cfRule>
    <x:cfRule type="expression" dxfId="79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62d03490c442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Lead CRM and Unified Lead Workspace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LEAD-001</x:v>
      </x:c>
      <x:c r="B5" s="46" t="str">
        <x:v>Lead CRM and Unified Lead Workspace</x:v>
      </x:c>
      <x:c r="C5" s="46" t="str">
        <x:v>Lead CRM and Unified Lead Workspace</x:v>
      </x:c>
      <x:c r="D5" s="46" t="str">
        <x:v>Complete the primary Lead CRM and Unified Lead Workspace workflow</x:v>
      </x:c>
      <x:c r="E5" s="46" t="str">
        <x:v>Create a lead, assign it, add property interest and communication history, schedule/complete follow-up, and inspect workspace/timeline.</x:v>
      </x:c>
      <x:c r="F5" s="46" t="str">
        <x:v>Complete the primary Lead CRM and Unified Lead Workspace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Agency A/B users; assigned/unassigned leads; properties; interactions; visits; documents; due follow-ups.</x:v>
      </x:c>
      <x:c r="L5" s="46" t="str">
        <x:v>All explicit lead sources/statuses, contact identity, budgets, property interests, interaction directions, follow-up dates, lost reason.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Agency A/B users; assigned/unassigned leads; properties; interactions; visits; documents; due follow-ups.
2. Sign in/use role: Agency Owner.
3. Navigate to /leads and lead workspace/detail panels and capture the initial UI/API/database state.
4. Execute: Create a lead, assign it, add property interest and communication history, schedule/complete follow-up, and inspect workspace/timeline.
5. Inspect the network request/response against: GET/POST /api/leads/; GET/PATCH/DELETE /api/leads/{id}/; interests, interactions, complete-follow-up, timeline, workspace and documents subroutes.
6. Refresh/re-query the feature and related modules: Public inquiries, automation, inbox, site visits, deals/offers, contacts, documents, tasks, dashboard.
7. Verify affected models (Lead, LeadPropertyInterest, LeadInteraction, LeadStatusHistory, LeadDocument, SiteVisit, Deal, Conversation) and all listed side effects.</x:v>
      </x:c>
      <x:c r="O5" s="46" t="str">
        <x:v>Tenant-scoped lead aggregates all related context; status/follow-up/response timestamps and history update consistently.</x:v>
      </x:c>
      <x:c r="P5" s="46" t="str">
        <x:v>Lead and related rows add/update/delete; status changes add LeadStatusHistory; outbound interaction updates last_contacted/first_response metrics.</x:v>
      </x:c>
      <x:c r="Q5" s="46" t="str">
        <x:v>Use the documented routes: GET/POST /api/leads/; GET/PATCH/DELETE /api/leads/{id}/; interests, interactions, complete-follow-up, timeline, workspace and documents subroutes. Successful create operations return 201, reads/updates/actions 200, and deletes 204 where provided; capture exact endpoint-specific response.</x:v>
      </x:c>
      <x:c r="R5" s="46" t="str">
        <x:v>Start at /leads and lead workspace/detail panels. The visible state must match the saved API response after refresh.</x:v>
      </x:c>
      <x:c r="S5" s="46" t="str">
        <x:v>Assignment notifications/SLA, dashboard, contacts import, visits/deals/inbox links and automation events can change.</x:v>
      </x:c>
      <x:c r="T5" s="46" t="str">
        <x:v>Public inquiries, automation, inbox, site visits, deals/offers, contacts, documents, tasks, dashboard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LEAD-002</x:v>
      </x:c>
      <x:c r="B6" s="47" t="str">
        <x:v>Lead CRM and Unified Lead Workspace</x:v>
      </x:c>
      <x:c r="C6" s="47" t="str">
        <x:v>Lead CRM and Unified Lead Workspace</x:v>
      </x:c>
      <x:c r="D6" s="47" t="str">
        <x:v>Reject invalid or missing Lead CRM and Unified Lead Workspace inputs</x:v>
      </x:c>
      <x:c r="E6" s="47" t="str">
        <x:v>Reject missing identity, invalid source/status, lost without reason, cross-tenant property/agent/doc, agent access to another agent's workspace, and invalid follow-up date/state.</x:v>
      </x:c>
      <x:c r="F6" s="47" t="str">
        <x:v>Reject invalid or missing Lead CRM and Unified Lead Workspace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Agency A/B users; assigned/unassigned leads; properties; interactions; visits; documents; due follow-ups.</x:v>
      </x:c>
      <x:c r="L6" s="47" t="str">
        <x:v>All explicit lead sources/statuses, contact identity, budgets, property interests, interaction directions, follow-up dates, lost reason.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Agency A/B users; assigned/unassigned leads; properties; interactions; visits; documents; due follow-ups.
2. Sign in/use role: Agency Owner.
3. Navigate to /leads and lead workspace/detail panels and capture the initial UI/API/database state.
4. Execute: Reject missing identity, invalid source/status, lost without reason, cross-tenant property/agent/doc, agent access to another agent's workspace, and invalid follow-up date/state.
5. Inspect the network request/response against: GET/POST /api/leads/; GET/PATCH/DELETE /api/leads/{id}/; interests, interactions, complete-follow-up, timeline, workspace and documents subroutes.
6. Refresh/re-query the feature and related modules: Public inquiries, automation, inbox, site visits, deals/offers, contacts, documents, tasks, dashboard.
7. Verify affected models (Lead, LeadPropertyInterest, LeadInteraction, LeadStatusHistory, LeadDocument, SiteVisit, Deal, Conversation)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Public inquiries, automation, inbox, site visits, deals/offers, contacts, documents, tasks, dashboard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LEAD-003</x:v>
      </x:c>
      <x:c r="B7" s="47" t="str">
        <x:v>Lead CRM and Unified Lead Workspace</x:v>
      </x:c>
      <x:c r="C7" s="47" t="str">
        <x:v>Lead CRM and Unified Lead Workspace</x:v>
      </x:c>
      <x:c r="D7" s="47" t="str">
        <x:v>Enforce Lead CRM and Unified Lead Workspace role permissions</x:v>
      </x:c>
      <x:c r="E7" s="47" t="str">
        <x:v>Owner/manager sees agency leads; agent sees assigned leads/workspaces; assignment and related IDs must be tenant scoped.</x:v>
      </x:c>
      <x:c r="F7" s="47" t="str">
        <x:v>Enforce Lead CRM and Unified Lead Workspace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Agency A/B users; assigned/unassigned leads; properties; interactions; visits; documents; due follow-ups.</x:v>
      </x:c>
      <x:c r="L7" s="47" t="str">
        <x:v>All explicit lead sources/statuses, contact identity, budgets, property interests, interaction directions, follow-up dates, lost reason.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Agency A/B users; assigned/unassigned leads; properties; interactions; visits; documents; due follow-ups.
2. Sign in/use role: Exercise every listed role plus an unauthenticated caller.
3. Navigate to /leads and lead workspace/detail panels and capture the initial UI/API/database state.
4. Execute: Owner/manager sees agency leads; agent sees assigned leads/workspaces; assignment and related IDs must be tenant scoped.
5. Inspect the network request/response against: GET/POST /api/leads/; GET/PATCH/DELETE /api/leads/{id}/; interests, interactions, complete-follow-up, timeline, workspace and documents subroutes.
6. Refresh/re-query the feature and related modules: Public inquiries, automation, inbox, site visits, deals/offers, contacts, documents, tasks, dashboard.
7. Verify affected models (Lead, LeadPropertyInterest, LeadInteraction, LeadStatusHistory, LeadDocument, SiteVisit, Deal, Conversation)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Public inquiries, automation, inbox, site visits, deals/offers, contacts, documents, tasks, dashboard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LEAD-004</x:v>
      </x:c>
      <x:c r="B8" s="47" t="str">
        <x:v>Lead CRM and Unified Lead Workspace</x:v>
      </x:c>
      <x:c r="C8" s="47" t="str">
        <x:v>Lead CRM and Unified Lead Workspace</x:v>
      </x:c>
      <x:c r="D8" s="47" t="str">
        <x:v>Prevent cross-tenant access in Lead CRM and Unified Lead Workspace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Lead CRM and Unified Lead Workspace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Agency A/B users; assigned/unassigned leads; properties; interactions; visits; documents; due follow-ups.</x:v>
      </x:c>
      <x:c r="L8" s="47" t="str">
        <x:v>All explicit lead sources/statuses, contact identity, budgets, property interests, interaction directions, follow-up dates, lost reason.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Agency A/B users; assigned/unassigned leads; properties; interactions; visits; documents; due follow-ups.
2. Sign in/use role: Agency A authenticated user and Agency B fixture.
3. Navigate to /leads and lead workspace/detail panels and capture the initial UI/API/database state.
4. Execute: Substitute Agency B object IDs, related IDs, slugs, files and filter parameters into every Agency A list/detail/create/update/delete/action request.
5. Inspect the network request/response against: GET/POST /api/leads/; GET/PATCH/DELETE /api/leads/{id}/; interests, interactions, complete-follow-up, timeline, workspace and documents subroutes.
6. Refresh/re-query the feature and related modules: Public inquiries, automation, inbox, site visits, deals/offers, contacts, documents, tasks, dashboard.
7. Verify affected models (Lead, LeadPropertyInterest, LeadInteraction, LeadStatusHistory, LeadDocument, SiteVisit, Deal, Conversation)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Public inquiries, automation, inbox, site visits, deals/offers, contacts, documents, tasks, dashboard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LEAD-005</x:v>
      </x:c>
      <x:c r="B9" s="47" t="str">
        <x:v>Lead CRM and Unified Lead Workspace</x:v>
      </x:c>
      <x:c r="C9" s="47" t="str">
        <x:v>Lead CRM and Unified Lead Workspace</x:v>
      </x:c>
      <x:c r="D9" s="47" t="str">
        <x:v>Verify Lead CRM and Unified Lead Workspace list, search and filter scoping</x:v>
      </x:c>
      <x:c r="E9" s="47" t="str">
        <x:v>Filter/search/status/source/assigned agent endpoints return scoped results; workspace returns related features without duplication.</x:v>
      </x:c>
      <x:c r="F9" s="47" t="str">
        <x:v>Verify Lead CRM and Unified Lead Workspace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Agency A/B users; assigned/unassigned leads; properties; interactions; visits; documents; due follow-ups.</x:v>
      </x:c>
      <x:c r="L9" s="47" t="str">
        <x:v>All explicit lead sources/statuses, contact identity, budgets, property interests, interaction directions, follow-up dates, lost reason.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Agency A/B users; assigned/unassigned leads; properties; interactions; visits; documents; due follow-ups.
2. Sign in/use role: Agency Owner.
3. Navigate to /leads and lead workspace/detail panels and capture the initial UI/API/database state.
4. Execute: Filter/search/status/source/assigned agent endpoints return scoped results; workspace returns related features without duplication.
5. Inspect the network request/response against: GET/POST /api/leads/; GET/PATCH/DELETE /api/leads/{id}/; interests, interactions, complete-follow-up, timeline, workspace and documents subroutes.
6. Refresh/re-query the feature and related modules: Public inquiries, automation, inbox, site visits, deals/offers, contacts, documents, tasks, dashboard.
7. Verify affected models (Lead, LeadPropertyInterest, LeadInteraction, LeadStatusHistory, LeadDocument, SiteVisit, Deal, Conversation)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Public inquiries, automation, inbox, site visits, deals/offers, contacts, documents, tasks, dashboard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LEAD-006</x:v>
      </x:c>
      <x:c r="B10" s="47" t="str">
        <x:v>Lead CRM and Unified Lead Workspace</x:v>
      </x:c>
      <x:c r="C10" s="47" t="str">
        <x:v>Lead CRM and Unified Lead Workspace</x:v>
      </x:c>
      <x:c r="D10" s="47" t="str">
        <x:v>Test duplicate submission and idempotency for Lead CRM and Unified Lead Workspace</x:v>
      </x:c>
      <x:c r="E10" s="47" t="str">
        <x:v>Double-click/submit identical requests sequentially and concurrently. Current rule: Public service deduplicates normalized identity; manual POST does not expose an idempotency key, so double-submit behavior must be recorded.</x:v>
      </x:c>
      <x:c r="F10" s="47" t="str">
        <x:v>Test duplicate submission and idempotency for Lead CRM and Unified Lead Workspace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Agency A/B users; assigned/unassigned leads; properties; interactions; visits; documents; due follow-ups.</x:v>
      </x:c>
      <x:c r="L10" s="47" t="str">
        <x:v>All explicit lead sources/statuses, contact identity, budgets, property interests, interaction directions, follow-up dates, lost reason.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Agency A/B users; assigned/unassigned leads; properties; interactions; visits; documents; due follow-ups.
2. Sign in/use role: Agency Owner.
3. Navigate to /leads and lead workspace/detail panels and capture the initial UI/API/database state.
4. Execute: Double-click/submit identical requests sequentially and concurrently. Current rule: Public service deduplicates normalized identity; manual POST does not expose an idempotency key, so double-submit behavior must be recorded.
5. Inspect the network request/response against: GET/POST /api/leads/; GET/PATCH/DELETE /api/leads/{id}/; interests, interactions, complete-follow-up, timeline, workspace and documents subroutes.
6. Refresh/re-query the feature and related modules: Public inquiries, automation, inbox, site visits, deals/offers, contacts, documents, tasks, dashboard.
7. Verify affected models (Lead, LeadPropertyInterest, LeadInteraction, LeadStatusHistory, LeadDocument, SiteVisit, Deal, Conversation)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Public inquiries, automation, inbox, site visits, deals/offers, contacts, documents, tasks, dashboard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LEAD-007</x:v>
      </x:c>
      <x:c r="B11" s="47" t="str">
        <x:v>Lead CRM and Unified Lead Workspace</x:v>
      </x:c>
      <x:c r="C11" s="47" t="str">
        <x:v>Lead CRM and Unified Lead Workspace</x:v>
      </x:c>
      <x:c r="D11" s="47" t="str">
        <x:v>Verify deletion and dependency behavior for Lead CRM and Unified Lead Workspace</x:v>
      </x:c>
      <x:c r="E11" s="47" t="str">
        <x:v>Delete an unreferenced record, a referenced record, a foreign-tenant record, and an already-deleted ID. Current rule: Delete behavior cascades lead interests/interactions/history/documents and may be protected/referenced by operational records; owner/manager permission must be confirmed; test against actual on_delete graph.</x:v>
      </x:c>
      <x:c r="F11" s="47" t="str">
        <x:v>Verify deletion and dependency behavior for Lead CRM and Unified Lead Workspace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Agency A/B users; assigned/unassigned leads; properties; interactions; visits; documents; due follow-ups.</x:v>
      </x:c>
      <x:c r="L11" s="47" t="str">
        <x:v>All explicit lead sources/statuses, contact identity, budgets, property interests, interaction directions, follow-up dates, lost reason.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Agency A/B users; assigned/unassigned leads; properties; interactions; visits; documents; due follow-ups.
2. Sign in/use role: Agency Owner or Agency Manager.
3. Navigate to /leads and lead workspace/detail panels and capture the initial UI/API/database state.
4. Execute: Delete an unreferenced record, a referenced record, a foreign-tenant record, and an already-deleted ID. Current rule: Delete behavior cascades lead interests/interactions/history/documents and may be protected/referenced by operational records; owner/manager permission must be confirmed; test against actual on_delete graph.
5. Inspect the network request/response against: GET/POST /api/leads/; GET/PATCH/DELETE /api/leads/{id}/; interests, interactions, complete-follow-up, timeline, workspace and documents subroutes.
6. Refresh/re-query the feature and related modules: Public inquiries, automation, inbox, site visits, deals/offers, contacts, documents, tasks, dashboard.
7. Verify affected models (Lead, LeadPropertyInterest, LeadInteraction, LeadStatusHistory, LeadDocument, SiteVisit, Deal, Conversation)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Public inquiries, automation, inbox, site visits, deals/offers, contacts, documents, tasks, dashboard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LEAD-008</x:v>
      </x:c>
      <x:c r="B12" s="47" t="str">
        <x:v>Lead CRM and Unified Lead Workspace</x:v>
      </x:c>
      <x:c r="C12" s="47" t="str">
        <x:v>Lead CRM and Unified Lead Workspace</x:v>
      </x:c>
      <x:c r="D12" s="47" t="str">
        <x:v>Recover cleanly from API/network failure during Lead CRM and Unified Lead Workspace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Lead CRM and Unified Lead Workspace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Agency A/B users; assigned/unassigned leads; properties; interactions; visits; documents; due follow-ups.</x:v>
      </x:c>
      <x:c r="L12" s="47" t="str">
        <x:v>All explicit lead sources/statuses, contact identity, budgets, property interests, interaction directions, follow-up dates, lost reason.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Agency A/B users; assigned/unassigned leads; properties; interactions; visits; documents; due follow-ups.
2. Sign in/use role: Agency Owner.
3. Navigate to /leads and lead workspace/detail panels and capture the initial UI/API/database state.
4. Execute: Simulate timeout, offline browser, 500 response, expired access token and failed refresh while submitting the primary workflow.
5. Inspect the network request/response against: GET/POST /api/leads/; GET/PATCH/DELETE /api/leads/{id}/; interests, interactions, complete-follow-up, timeline, workspace and documents subroutes.
6. Refresh/re-query the feature and related modules: Public inquiries, automation, inbox, site visits, deals/offers, contacts, documents, tasks, dashboard.
7. Verify affected models (Lead, LeadPropertyInterest, LeadInteraction, LeadStatusHistory, LeadDocument, SiteVisit, Deal, Conversation)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Public inquiries, automation, inbox, site visits, deals/offers, contacts, documents, tasks, dashboard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LEAD-009</x:v>
      </x:c>
      <x:c r="B13" s="47" t="str">
        <x:v>Lead CRM and Unified Lead Workspace</x:v>
      </x:c>
      <x:c r="C13" s="47" t="str">
        <x:v>Lead CRM and Unified Lead Workspace</x:v>
      </x:c>
      <x:c r="D13" s="47" t="str">
        <x:v>Lost lead requires lost reason</x:v>
      </x:c>
      <x:c r="E13" s="47" t="str">
        <x:v>PATCH status to lost with blank reason, then with a reason.</x:v>
      </x:c>
      <x:c r="F13" s="47" t="str">
        <x:v>Lost lead requires lost reason</x:v>
      </x:c>
      <x:c r="G13" s="47" t="str">
        <x:v>State Transition</x:v>
      </x:c>
      <x:c r="H13" s="53" t="str">
        <x:v>P0</x:v>
      </x:c>
      <x:c r="I13" s="53" t="str">
        <x:v>Critical</x:v>
      </x:c>
      <x:c r="J13" s="47" t="str">
        <x:v>Agency user</x:v>
      </x:c>
      <x:c r="K13" s="47" t="str">
        <x:v>Agency A/B users; assigned/unassigned leads; properties; interactions; visits; documents; due follow-ups.</x:v>
      </x:c>
      <x:c r="L13" s="47" t="str">
        <x:v>All explicit lead sources/statuses, contact identity, budgets, property interests, interaction directions, follow-up dates, lost reason.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Agency A/B users; assigned/unassigned leads; properties; interactions; visits; documents; due follow-ups.
2. Sign in/use role: Agency user.
3. Navigate to /leads and lead workspace/detail panels and capture the initial UI/API/database state.
4. Execute: PATCH status to lost with blank reason, then with a reason.
5. Inspect the network request/response against: GET/POST /api/leads/; GET/PATCH/DELETE /api/leads/{id}/; interests, interactions, complete-follow-up, timeline, workspace and documents subroutes.
6. Refresh/re-query the feature and related modules: Public inquiries, automation, inbox, site visits, deals/offers, contacts, documents, tasks, dashboard.
7. Verify affected models (Lead, LeadPropertyInterest, LeadInteraction, LeadStatusHistory, LeadDocument, SiteVisit, Deal, Conversation) and all listed side effects.</x:v>
      </x:c>
      <x:c r="O13" s="47" t="str">
        <x:v>Blank reason is rejected; valid reason creates a status history entry and persists lost_reason.</x:v>
      </x:c>
      <x:c r="P13" s="47" t="str">
        <x:v>First attempt no change; second updates Lead and adds LeadStatusHistory.</x:v>
      </x:c>
      <x:c r="Q13" s="47" t="str">
        <x:v>PATCH returns 400 then 200.</x:v>
      </x:c>
      <x:c r="R13" s="47" t="str">
        <x:v>Form blocks/marks the reason field and timeline shows accepted transition.</x:v>
      </x:c>
      <x:c r="S13" s="47" t="str">
        <x:v>Follow-up/automation handling follows lost status rules.</x:v>
      </x:c>
      <x:c r="T13" s="47" t="str">
        <x:v>Public inquiries, automation, inbox, site visits, deals/offers, contacts, documents, tasks, dashboard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LEAD-010</x:v>
      </x:c>
      <x:c r="B14" s="47" t="str">
        <x:v>Lead CRM and Unified Lead Workspace</x:v>
      </x:c>
      <x:c r="C14" s="47" t="str">
        <x:v>Lead CRM and Unified Lead Workspace</x:v>
      </x:c>
      <x:c r="D14" s="47" t="str">
        <x:v>Outbound interaction records first response time</x:v>
      </x:c>
      <x:c r="E14" s="47" t="str">
        <x:v>Add the first outbound interaction after assignment, then another outbound interaction.</x:v>
      </x:c>
      <x:c r="F14" s="47" t="str">
        <x:v>Outbound interaction records first response time</x:v>
      </x:c>
      <x:c r="G14" s="47" t="str">
        <x:v>Integration</x:v>
      </x:c>
      <x:c r="H14" s="53" t="str">
        <x:v>P0</x:v>
      </x:c>
      <x:c r="I14" s="53" t="str">
        <x:v>Critical</x:v>
      </x:c>
      <x:c r="J14" s="47" t="str">
        <x:v>Assigned Agent</x:v>
      </x:c>
      <x:c r="K14" s="47" t="str">
        <x:v>Agency A/B users; assigned/unassigned leads; properties; interactions; visits; documents; due follow-ups.</x:v>
      </x:c>
      <x:c r="L14" s="47" t="str">
        <x:v>All explicit lead sources/statuses, contact identity, budgets, property interests, interaction directions, follow-up dates, lost reason.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Agency A/B users; assigned/unassigned leads; properties; interactions; visits; documents; due follow-ups.
2. Sign in/use role: Assigned Agent.
3. Navigate to /leads and lead workspace/detail panels and capture the initial UI/API/database state.
4. Execute: Add the first outbound interaction after assignment, then another outbound interaction.
5. Inspect the network request/response against: GET/POST /api/leads/; GET/PATCH/DELETE /api/leads/{id}/; interests, interactions, complete-follow-up, timeline, workspace and documents subroutes.
6. Refresh/re-query the feature and related modules: Public inquiries, automation, inbox, site visits, deals/offers, contacts, documents, tasks, dashboard.
7. Verify affected models (Lead, LeadPropertyInterest, LeadInteraction, LeadStatusHistory, LeadDocument, SiteVisit, Deal, Conversation) and all listed side effects.</x:v>
      </x:c>
      <x:c r="O14" s="47" t="str">
        <x:v>First response duration is recorded once; last_contacted_at updates appropriately without overwriting the first metric.</x:v>
      </x:c>
      <x:c r="P14" s="47" t="str">
        <x:v>Lead response fields update; two LeadInteraction rows.</x:v>
      </x:c>
      <x:c r="Q14" s="47" t="str">
        <x:v>POST interactions returns 201 for each valid entry.</x:v>
      </x:c>
      <x:c r="R14" s="47" t="str">
        <x:v>Workspace/timeline immediately shows both interactions and response KPI.</x:v>
      </x:c>
      <x:c r="S14" s="47" t="str">
        <x:v>Neglect escalation should no longer treat the lead as unresponded.</x:v>
      </x:c>
      <x:c r="T14" s="47" t="str">
        <x:v>Public inquiries, automation, inbox, site visits, deals/offers, contacts, documents, tasks, dashboard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LEAD-011</x:v>
      </x:c>
      <x:c r="B15" s="47" t="str">
        <x:v>Lead CRM and Unified Lead Workspace</x:v>
      </x:c>
      <x:c r="C15" s="47" t="str">
        <x:v>Lead CRM and Unified Lead Workspace</x:v>
      </x:c>
      <x:c r="D15" s="47" t="str">
        <x:v>Agent cannot open another agent's workspace</x:v>
      </x:c>
      <x:c r="E15" s="47" t="str">
        <x:v>GET workspace/timeline/documents for Agent B's assigned lead.</x:v>
      </x:c>
      <x:c r="F15" s="47" t="str">
        <x:v>Agent cannot open another agent's workspace</x:v>
      </x:c>
      <x:c r="G15" s="47" t="str">
        <x:v>Security</x:v>
      </x:c>
      <x:c r="H15" s="53" t="str">
        <x:v>P0</x:v>
      </x:c>
      <x:c r="I15" s="53" t="str">
        <x:v>Critical</x:v>
      </x:c>
      <x:c r="J15" s="47" t="str">
        <x:v>Agent A</x:v>
      </x:c>
      <x:c r="K15" s="47" t="str">
        <x:v>Agency A/B users; assigned/unassigned leads; properties; interactions; visits; documents; due follow-ups.</x:v>
      </x:c>
      <x:c r="L15" s="47" t="str">
        <x:v>All explicit lead sources/statuses, contact identity, budgets, property interests, interaction directions, follow-up dates, lost reason.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Agency A/B users; assigned/unassigned leads; properties; interactions; visits; documents; due follow-ups.
2. Sign in/use role: Agent A.
3. Navigate to /leads and lead workspace/detail panels and capture the initial UI/API/database state.
4. Execute: GET workspace/timeline/documents for Agent B's assigned lead.
5. Inspect the network request/response against: GET/POST /api/leads/; GET/PATCH/DELETE /api/leads/{id}/; interests, interactions, complete-follow-up, timeline, workspace and documents subroutes.
6. Refresh/re-query the feature and related modules: Public inquiries, automation, inbox, site visits, deals/offers, contacts, documents, tasks, dashboard.
7. Verify affected models (Lead, LeadPropertyInterest, LeadInteraction, LeadStatusHistory, LeadDocument, SiteVisit, Deal, Conversation) and all listed side effects.</x:v>
      </x:c>
      <x:c r="O15" s="47" t="str">
        <x:v>Access is hidden/forbidden across every sub-resource.</x:v>
      </x:c>
      <x:c r="P15" s="47" t="str">
        <x:v>No rows change.</x:v>
      </x:c>
      <x:c r="Q15" s="47" t="str">
        <x:v>Scoped endpoints return 404/403 consistently.</x:v>
      </x:c>
      <x:c r="R15" s="47" t="str">
        <x:v>Direct URL shows forbidden/not found and no cached details.</x:v>
      </x:c>
      <x:c r="S15" s="47" t="str">
        <x:v>No side-effect event or notification.</x:v>
      </x:c>
      <x:c r="T15" s="47" t="str">
        <x:v>Public inquiries, automation, inbox, site visits, deals/offers, contacts, documents, tasks, dashboard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LEAD-012</x:v>
      </x:c>
      <x:c r="B16" s="48" t="str">
        <x:v>Lead CRM and Unified Lead Workspace</x:v>
      </x:c>
      <x:c r="C16" s="48" t="str">
        <x:v>Lead CRM and Unified Lead Workspace</x:v>
      </x:c>
      <x:c r="D16" s="48" t="str">
        <x:v>Complete follow-up records next action</x:v>
      </x:c>
      <x:c r="E16" s="48" t="str">
        <x:v>Complete a pending follow-up with outcome/notes and optional next_follow_up_at.</x:v>
      </x:c>
      <x:c r="F16" s="48" t="str">
        <x:v>Complete follow-up records next action</x:v>
      </x:c>
      <x:c r="G16" s="48" t="str">
        <x:v>Workflow</x:v>
      </x:c>
      <x:c r="H16" s="54" t="str">
        <x:v>P1</x:v>
      </x:c>
      <x:c r="I16" s="54" t="str">
        <x:v>High</x:v>
      </x:c>
      <x:c r="J16" s="48" t="str">
        <x:v>Assigned Agent</x:v>
      </x:c>
      <x:c r="K16" s="48" t="str">
        <x:v>Agency A/B users; assigned/unassigned leads; properties; interactions; visits; documents; due follow-ups.</x:v>
      </x:c>
      <x:c r="L16" s="48" t="str">
        <x:v>All explicit lead sources/statuses, contact identity, budgets, property interests, interaction directions, follow-up dates, lost reason.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Agency A/B users; assigned/unassigned leads; properties; interactions; visits; documents; due follow-ups.
2. Sign in/use role: Assigned Agent.
3. Navigate to /leads and lead workspace/detail panels and capture the initial UI/API/database state.
4. Execute: Complete a pending follow-up with outcome/notes and optional next_follow_up_at.
5. Inspect the network request/response against: GET/POST /api/leads/; GET/PATCH/DELETE /api/leads/{id}/; interests, interactions, complete-follow-up, timeline, workspace and documents subroutes.
6. Refresh/re-query the feature and related modules: Public inquiries, automation, inbox, site visits, deals/offers, contacts, documents, tasks, dashboard.
7. Verify affected models (Lead, LeadPropertyInterest, LeadInteraction, LeadStatusHistory, LeadDocument, SiteVisit, Deal, Conversation) and all listed side effects.</x:v>
      </x:c>
      <x:c r="O16" s="48" t="str">
        <x:v>Follow-up status/timestamps and interaction/history reflect completion; next reminder state is set only when requested.</x:v>
      </x:c>
      <x:c r="P16" s="48" t="str">
        <x:v>Lead updates and one LeadInteraction is created by the endpoint.</x:v>
      </x:c>
      <x:c r="Q16" s="48" t="str">
        <x:v>POST complete-follow-up returns updated lead/context.</x:v>
      </x:c>
      <x:c r="R16" s="48" t="str">
        <x:v>Due item clears and timeline shows completion.</x:v>
      </x:c>
      <x:c r="S16" s="48" t="str">
        <x:v>Reminder job does not resend the completed reminder window.</x:v>
      </x:c>
      <x:c r="T16" s="48" t="str">
        <x:v>Public inquiries, automation, inbox, site visits, deals/offers, contacts, documents, tasks, dashboard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80" priority="1">
      <x:formula>H5="P0"</x:formula>
    </x:cfRule>
    <x:cfRule type="expression" dxfId="81" priority="2">
      <x:formula>H5="P1"</x:formula>
    </x:cfRule>
    <x:cfRule type="expression" dxfId="82" priority="3">
      <x:formula>H5="P2"</x:formula>
    </x:cfRule>
    <x:cfRule type="expression" dxfId="83" priority="4">
      <x:formula>H5="P3"</x:formula>
    </x:cfRule>
  </x:conditionalFormatting>
  <x:conditionalFormatting sqref="W5:W16">
    <x:cfRule type="expression" dxfId="84" priority="5">
      <x:formula>W5="Passed"</x:formula>
    </x:cfRule>
    <x:cfRule type="expression" dxfId="85" priority="6">
      <x:formula>W5="Failed"</x:formula>
    </x:cfRule>
    <x:cfRule type="expression" dxfId="86" priority="7">
      <x:formula>W5="Blocked"</x:formula>
    </x:cfRule>
    <x:cfRule type="expression" dxfId="87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b7b248ef154c4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Rule-Based Lead Automation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AUTO-001</x:v>
      </x:c>
      <x:c r="B5" s="46" t="str">
        <x:v>Rule-Based Lead Automation</x:v>
      </x:c>
      <x:c r="C5" s="46" t="str">
        <x:v>Rule-Based Lead Automation</x:v>
      </x:c>
      <x:c r="D5" s="46" t="str">
        <x:v>Complete the primary Rule-Based Lead Automation workflow</x:v>
      </x:c>
      <x:c r="E5" s="46" t="str">
        <x:v>Configure prioritized rules, create matching leads, process automation, respond to one lead and leave another neglected.</x:v>
      </x:c>
      <x:c r="F5" s="46" t="str">
        <x:v>Complete the primary Rule-Based Lead Automation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Multiple active agents with capacities; listing agents; prioritized rules; duplicate leads; timestamps crossing SLA/reminder/escalation thresholds.</x:v>
      </x:c>
      <x:c r="L5" s="46" t="str">
        <x:v>Rule priority/conditions/assignee, max active leads, round-robin cursor, SLA minutes, reminder/escalation/reassignment windows.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Multiple active agents with capacities; listing agents; prioritized rules; duplicate leads; timestamps crossing SLA/reminder/escalation thresholds.
2. Sign in/use role: Agency Owner.
3. Navigate to /leads automation settings/rules/dashboard/duplicates/events panels and capture the initial UI/API/database state.
4. Execute: Configure prioritized rules, create matching leads, process automation, respond to one lead and leave another neglected.
5. Inspect the network request/response against: GET/PATCH /api/leads/automation/settings/; CRUD /api/leads/automation/rules/; duplicate review/events/dashboard; POST /api/leads/automation/process/.
6. Refresh/re-query the feature and related modules: Lead creation, properties/agents, interactions, notifications/email, scheduler.
7. Verify affected models (LeadAutomationSettings, LeadAssignmentRule, LeadDuplicateFlag, LeadAutomationEvent, Lead, Notification) and all listed side effects.</x:v>
      </x:c>
      <x:c r="O5" s="46" t="str">
        <x:v>Deterministic assignment honors priority/capacity/fallback; SLA and events are recorded; reminders/escalation/reassignment occur once per eligible threshold.</x:v>
      </x:c>
      <x:c r="P5" s="46" t="str">
        <x:v>Lead assigned_agent/SLA/reassignment fields update; automation event/duplicate/notification rows add; settings/rules persist.</x:v>
      </x:c>
      <x:c r="Q5" s="46" t="str">
        <x:v>Use the documented routes: GET/PATCH /api/leads/automation/settings/; CRUD /api/leads/automation/rules/; duplicate review/events/dashboard; POST /api/leads/automation/process/. Successful create operations return 201, reads/updates/actions 200, and deletes 204 where provided; capture exact endpoint-specific response.</x:v>
      </x:c>
      <x:c r="R5" s="46" t="str">
        <x:v>Start at /leads automation settings/rules/dashboard/duplicates/events panels. The visible state must match the saved API response after refresh.</x:v>
      </x:c>
      <x:c r="S5" s="46" t="str">
        <x:v>Agent workload, emails/in-app alerts, lead filters, response KPIs and manager dashboard change.</x:v>
      </x:c>
      <x:c r="T5" s="46" t="str">
        <x:v>Lead creation, properties/agents, interactions, notifications/email, scheduler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AUTO-002</x:v>
      </x:c>
      <x:c r="B6" s="47" t="str">
        <x:v>Rule-Based Lead Automation</x:v>
      </x:c>
      <x:c r="C6" s="47" t="str">
        <x:v>Rule-Based Lead Automation</x:v>
      </x:c>
      <x:c r="D6" s="47" t="str">
        <x:v>Reject invalid or missing Rule-Based Lead Automation inputs</x:v>
      </x:c>
      <x:c r="E6" s="47" t="str">
        <x:v>Reject agent configuration, cross-tenant assignees/property conditions, malformed rules/windows, inactive agents, and invalid duplicate review state.</x:v>
      </x:c>
      <x:c r="F6" s="47" t="str">
        <x:v>Reject invalid or missing Rule-Based Lead Automation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Multiple active agents with capacities; listing agents; prioritized rules; duplicate leads; timestamps crossing SLA/reminder/escalation thresholds.</x:v>
      </x:c>
      <x:c r="L6" s="47" t="str">
        <x:v>Rule priority/conditions/assignee, max active leads, round-robin cursor, SLA minutes, reminder/escalation/reassignment windows.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Multiple active agents with capacities; listing agents; prioritized rules; duplicate leads; timestamps crossing SLA/reminder/escalation thresholds.
2. Sign in/use role: Agency Owner.
3. Navigate to /leads automation settings/rules/dashboard/duplicates/events panels and capture the initial UI/API/database state.
4. Execute: Reject agent configuration, cross-tenant assignees/property conditions, malformed rules/windows, inactive agents, and invalid duplicate review state.
5. Inspect the network request/response against: GET/PATCH /api/leads/automation/settings/; CRUD /api/leads/automation/rules/; duplicate review/events/dashboard; POST /api/leads/automation/process/.
6. Refresh/re-query the feature and related modules: Lead creation, properties/agents, interactions, notifications/email, scheduler.
7. Verify affected models (LeadAutomationSettings, LeadAssignmentRule, LeadDuplicateFlag, LeadAutomationEvent, Lead, Notification)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Lead creation, properties/agents, interactions, notifications/email, scheduler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AUTO-003</x:v>
      </x:c>
      <x:c r="B7" s="47" t="str">
        <x:v>Rule-Based Lead Automation</x:v>
      </x:c>
      <x:c r="C7" s="47" t="str">
        <x:v>Rule-Based Lead Automation</x:v>
      </x:c>
      <x:c r="D7" s="47" t="str">
        <x:v>Enforce Rule-Based Lead Automation role permissions</x:v>
      </x:c>
      <x:c r="E7" s="47" t="str">
        <x:v>Only owner/manager configures rules/settings and reviews duplicates; agents can see only their assigned lead effects.</x:v>
      </x:c>
      <x:c r="F7" s="47" t="str">
        <x:v>Enforce Rule-Based Lead Automation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Multiple active agents with capacities; listing agents; prioritized rules; duplicate leads; timestamps crossing SLA/reminder/escalation thresholds.</x:v>
      </x:c>
      <x:c r="L7" s="47" t="str">
        <x:v>Rule priority/conditions/assignee, max active leads, round-robin cursor, SLA minutes, reminder/escalation/reassignment windows.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Multiple active agents with capacities; listing agents; prioritized rules; duplicate leads; timestamps crossing SLA/reminder/escalation thresholds.
2. Sign in/use role: Exercise every listed role plus an unauthenticated caller.
3. Navigate to /leads automation settings/rules/dashboard/duplicates/events panels and capture the initial UI/API/database state.
4. Execute: Only owner/manager configures rules/settings and reviews duplicates; agents can see only their assigned lead effects.
5. Inspect the network request/response against: GET/PATCH /api/leads/automation/settings/; CRUD /api/leads/automation/rules/; duplicate review/events/dashboard; POST /api/leads/automation/process/.
6. Refresh/re-query the feature and related modules: Lead creation, properties/agents, interactions, notifications/email, scheduler.
7. Verify affected models (LeadAutomationSettings, LeadAssignmentRule, LeadDuplicateFlag, LeadAutomationEvent, Lead, Notification)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Lead creation, properties/agents, interactions, notifications/email, scheduler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AUTO-004</x:v>
      </x:c>
      <x:c r="B8" s="47" t="str">
        <x:v>Rule-Based Lead Automation</x:v>
      </x:c>
      <x:c r="C8" s="47" t="str">
        <x:v>Rule-Based Lead Automation</x:v>
      </x:c>
      <x:c r="D8" s="47" t="str">
        <x:v>Prevent cross-tenant access in Rule-Based Lead Automation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Rule-Based Lead Automation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Multiple active agents with capacities; listing agents; prioritized rules; duplicate leads; timestamps crossing SLA/reminder/escalation thresholds.</x:v>
      </x:c>
      <x:c r="L8" s="47" t="str">
        <x:v>Rule priority/conditions/assignee, max active leads, round-robin cursor, SLA minutes, reminder/escalation/reassignment windows.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Multiple active agents with capacities; listing agents; prioritized rules; duplicate leads; timestamps crossing SLA/reminder/escalation thresholds.
2. Sign in/use role: Agency A authenticated user and Agency B fixture.
3. Navigate to /leads automation settings/rules/dashboard/duplicates/events panels and capture the initial UI/API/database state.
4. Execute: Substitute Agency B object IDs, related IDs, slugs, files and filter parameters into every Agency A list/detail/create/update/delete/action request.
5. Inspect the network request/response against: GET/PATCH /api/leads/automation/settings/; CRUD /api/leads/automation/rules/; duplicate review/events/dashboard; POST /api/leads/automation/process/.
6. Refresh/re-query the feature and related modules: Lead creation, properties/agents, interactions, notifications/email, scheduler.
7. Verify affected models (LeadAutomationSettings, LeadAssignmentRule, LeadDuplicateFlag, LeadAutomationEvent, Lead, Notification)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Lead creation, properties/agents, interactions, notifications/email, scheduler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AUTO-005</x:v>
      </x:c>
      <x:c r="B9" s="47" t="str">
        <x:v>Rule-Based Lead Automation</x:v>
      </x:c>
      <x:c r="C9" s="47" t="str">
        <x:v>Rule-Based Lead Automation</x:v>
      </x:c>
      <x:c r="D9" s="47" t="str">
        <x:v>Verify Rule-Based Lead Automation list, search and filter scoping</x:v>
      </x:c>
      <x:c r="E9" s="47" t="str">
        <x:v>Automation dashboard/events/duplicate queues are tenant-scoped and reflect actual processed state.</x:v>
      </x:c>
      <x:c r="F9" s="47" t="str">
        <x:v>Verify Rule-Based Lead Automation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Multiple active agents with capacities; listing agents; prioritized rules; duplicate leads; timestamps crossing SLA/reminder/escalation thresholds.</x:v>
      </x:c>
      <x:c r="L9" s="47" t="str">
        <x:v>Rule priority/conditions/assignee, max active leads, round-robin cursor, SLA minutes, reminder/escalation/reassignment windows.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Multiple active agents with capacities; listing agents; prioritized rules; duplicate leads; timestamps crossing SLA/reminder/escalation thresholds.
2. Sign in/use role: Agency Owner.
3. Navigate to /leads automation settings/rules/dashboard/duplicates/events panels and capture the initial UI/API/database state.
4. Execute: Automation dashboard/events/duplicate queues are tenant-scoped and reflect actual processed state.
5. Inspect the network request/response against: GET/PATCH /api/leads/automation/settings/; CRUD /api/leads/automation/rules/; duplicate review/events/dashboard; POST /api/leads/automation/process/.
6. Refresh/re-query the feature and related modules: Lead creation, properties/agents, interactions, notifications/email, scheduler.
7. Verify affected models (LeadAutomationSettings, LeadAssignmentRule, LeadDuplicateFlag, LeadAutomationEvent, Lead, Notification)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Lead creation, properties/agents, interactions, notifications/email, scheduler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AUTO-006</x:v>
      </x:c>
      <x:c r="B10" s="47" t="str">
        <x:v>Rule-Based Lead Automation</x:v>
      </x:c>
      <x:c r="C10" s="47" t="str">
        <x:v>Rule-Based Lead Automation</x:v>
      </x:c>
      <x:c r="D10" s="47" t="str">
        <x:v>Test duplicate submission and idempotency for Rule-Based Lead Automation</x:v>
      </x:c>
      <x:c r="E10" s="47" t="str">
        <x:v>Double-click/submit identical requests sequentially and concurrently. Current rule: Processing command/API is designed to avoid duplicate reminder/escalation events per window; concurrent processors must be tested for races.</x:v>
      </x:c>
      <x:c r="F10" s="47" t="str">
        <x:v>Test duplicate submission and idempotency for Rule-Based Lead Automation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Multiple active agents with capacities; listing agents; prioritized rules; duplicate leads; timestamps crossing SLA/reminder/escalation thresholds.</x:v>
      </x:c>
      <x:c r="L10" s="47" t="str">
        <x:v>Rule priority/conditions/assignee, max active leads, round-robin cursor, SLA minutes, reminder/escalation/reassignment windows.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Multiple active agents with capacities; listing agents; prioritized rules; duplicate leads; timestamps crossing SLA/reminder/escalation thresholds.
2. Sign in/use role: Agency Owner.
3. Navigate to /leads automation settings/rules/dashboard/duplicates/events panels and capture the initial UI/API/database state.
4. Execute: Double-click/submit identical requests sequentially and concurrently. Current rule: Processing command/API is designed to avoid duplicate reminder/escalation events per window; concurrent processors must be tested for races.
5. Inspect the network request/response against: GET/PATCH /api/leads/automation/settings/; CRUD /api/leads/automation/rules/; duplicate review/events/dashboard; POST /api/leads/automation/process/.
6. Refresh/re-query the feature and related modules: Lead creation, properties/agents, interactions, notifications/email, scheduler.
7. Verify affected models (LeadAutomationSettings, LeadAssignmentRule, LeadDuplicateFlag, LeadAutomationEvent, Lead, Notification)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Lead creation, properties/agents, interactions, notifications/email, scheduler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AUTO-007</x:v>
      </x:c>
      <x:c r="B11" s="47" t="str">
        <x:v>Rule-Based Lead Automation</x:v>
      </x:c>
      <x:c r="C11" s="47" t="str">
        <x:v>Rule-Based Lead Automation</x:v>
      </x:c>
      <x:c r="D11" s="47" t="str">
        <x:v>Verify deletion and dependency behavior for Rule-Based Lead Automation</x:v>
      </x:c>
      <x:c r="E11" s="47" t="str">
        <x:v>Delete an unreferenced record, a referenced record, a foreign-tenant record, and an already-deleted ID. Current rule: Deleting a rule stops future matches but must not unassign existing leads; deleting leads cascades their automation flags/events per model relations.</x:v>
      </x:c>
      <x:c r="F11" s="47" t="str">
        <x:v>Verify deletion and dependency behavior for Rule-Based Lead Automation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Multiple active agents with capacities; listing agents; prioritized rules; duplicate leads; timestamps crossing SLA/reminder/escalation thresholds.</x:v>
      </x:c>
      <x:c r="L11" s="47" t="str">
        <x:v>Rule priority/conditions/assignee, max active leads, round-robin cursor, SLA minutes, reminder/escalation/reassignment windows.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Multiple active agents with capacities; listing agents; prioritized rules; duplicate leads; timestamps crossing SLA/reminder/escalation thresholds.
2. Sign in/use role: Agency Owner or Agency Manager.
3. Navigate to /leads automation settings/rules/dashboard/duplicates/events panels and capture the initial UI/API/database state.
4. Execute: Delete an unreferenced record, a referenced record, a foreign-tenant record, and an already-deleted ID. Current rule: Deleting a rule stops future matches but must not unassign existing leads; deleting leads cascades their automation flags/events per model relations.
5. Inspect the network request/response against: GET/PATCH /api/leads/automation/settings/; CRUD /api/leads/automation/rules/; duplicate review/events/dashboard; POST /api/leads/automation/process/.
6. Refresh/re-query the feature and related modules: Lead creation, properties/agents, interactions, notifications/email, scheduler.
7. Verify affected models (LeadAutomationSettings, LeadAssignmentRule, LeadDuplicateFlag, LeadAutomationEvent, Lead, Notification)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Lead creation, properties/agents, interactions, notifications/email, scheduler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AUTO-008</x:v>
      </x:c>
      <x:c r="B12" s="47" t="str">
        <x:v>Rule-Based Lead Automation</x:v>
      </x:c>
      <x:c r="C12" s="47" t="str">
        <x:v>Rule-Based Lead Automation</x:v>
      </x:c>
      <x:c r="D12" s="47" t="str">
        <x:v>Recover cleanly from API/network failure during Rule-Based Lead Automation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Rule-Based Lead Automation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Multiple active agents with capacities; listing agents; prioritized rules; duplicate leads; timestamps crossing SLA/reminder/escalation thresholds.</x:v>
      </x:c>
      <x:c r="L12" s="47" t="str">
        <x:v>Rule priority/conditions/assignee, max active leads, round-robin cursor, SLA minutes, reminder/escalation/reassignment windows.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Multiple active agents with capacities; listing agents; prioritized rules; duplicate leads; timestamps crossing SLA/reminder/escalation thresholds.
2. Sign in/use role: Agency Owner.
3. Navigate to /leads automation settings/rules/dashboard/duplicates/events panels and capture the initial UI/API/database state.
4. Execute: Simulate timeout, offline browser, 500 response, expired access token and failed refresh while submitting the primary workflow.
5. Inspect the network request/response against: GET/PATCH /api/leads/automation/settings/; CRUD /api/leads/automation/rules/; duplicate review/events/dashboard; POST /api/leads/automation/process/.
6. Refresh/re-query the feature and related modules: Lead creation, properties/agents, interactions, notifications/email, scheduler.
7. Verify affected models (LeadAutomationSettings, LeadAssignmentRule, LeadDuplicateFlag, LeadAutomationEvent, Lead, Notification)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Lead creation, properties/agents, interactions, notifications/email, scheduler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AUTO-009</x:v>
      </x:c>
      <x:c r="B13" s="47" t="str">
        <x:v>Rule-Based Lead Automation</x:v>
      </x:c>
      <x:c r="C13" s="47" t="str">
        <x:v>Rule-Based Lead Automation</x:v>
      </x:c>
      <x:c r="D13" s="47" t="str">
        <x:v>Higher-priority location/type rule wins</x:v>
      </x:c>
      <x:c r="E13" s="47" t="str">
        <x:v>Create overlapping location and property-type rules with distinct priorities, then create a lead matching both.</x:v>
      </x:c>
      <x:c r="F13" s="47" t="str">
        <x:v>Higher-priority location/type rule wins</x:v>
      </x:c>
      <x:c r="G13" s="47" t="str">
        <x:v>Workflow</x:v>
      </x:c>
      <x:c r="H13" s="53" t="str">
        <x:v>P0</x:v>
      </x:c>
      <x:c r="I13" s="53" t="str">
        <x:v>Critical</x:v>
      </x:c>
      <x:c r="J13" s="47" t="str">
        <x:v>Agency Manager</x:v>
      </x:c>
      <x:c r="K13" s="47" t="str">
        <x:v>Multiple active agents with capacities; listing agents; prioritized rules; duplicate leads; timestamps crossing SLA/reminder/escalation thresholds.</x:v>
      </x:c>
      <x:c r="L13" s="47" t="str">
        <x:v>Rule priority/conditions/assignee, max active leads, round-robin cursor, SLA minutes, reminder/escalation/reassignment windows.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Multiple active agents with capacities; listing agents; prioritized rules; duplicate leads; timestamps crossing SLA/reminder/escalation thresholds.
2. Sign in/use role: Agency Manager.
3. Navigate to /leads automation settings/rules/dashboard/duplicates/events panels and capture the initial UI/API/database state.
4. Execute: Create overlapping location and property-type rules with distinct priorities, then create a lead matching both.
5. Inspect the network request/response against: GET/PATCH /api/leads/automation/settings/; CRUD /api/leads/automation/rules/; duplicate review/events/dashboard; POST /api/leads/automation/process/.
6. Refresh/re-query the feature and related modules: Lead creation, properties/agents, interactions, notifications/email, scheduler.
7. Verify affected models (LeadAutomationSettings, LeadAssignmentRule, LeadDuplicateFlag, LeadAutomationEvent, Lead, Notification) and all listed side effects.</x:v>
      </x:c>
      <x:c r="O13" s="47" t="str">
        <x:v>The highest-priority active rule assigns the configured eligible agent.</x:v>
      </x:c>
      <x:c r="P13" s="47" t="str">
        <x:v>Lead assigned_agent and assignment timestamps set; one assignment event.</x:v>
      </x:c>
      <x:c r="Q13" s="47" t="str">
        <x:v>Lead create/process returns assigned result; automation dashboard increments.</x:v>
      </x:c>
      <x:c r="R13" s="47" t="str">
        <x:v>Lead card shows the winning agent/rule outcome.</x:v>
      </x:c>
      <x:c r="S13" s="47" t="str">
        <x:v>Assignment notification/SLA starts once.</x:v>
      </x:c>
      <x:c r="T13" s="47" t="str">
        <x:v>Lead creation, properties/agents, interactions, notifications/email, scheduler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AUTO-010</x:v>
      </x:c>
      <x:c r="B14" s="47" t="str">
        <x:v>Rule-Based Lead Automation</x:v>
      </x:c>
      <x:c r="C14" s="47" t="str">
        <x:v>Rule-Based Lead Automation</x:v>
      </x:c>
      <x:c r="D14" s="47" t="str">
        <x:v>Round robin respects maximum active capacity</x:v>
      </x:c>
      <x:c r="E14" s="47" t="str">
        <x:v>Fill Agent A to max_active_leads, leave Agent B below capacity, and process several matching leads.</x:v>
      </x:c>
      <x:c r="F14" s="47" t="str">
        <x:v>Round robin respects maximum active capacity</x:v>
      </x:c>
      <x:c r="G14" s="47" t="str">
        <x:v>Boundary</x:v>
      </x:c>
      <x:c r="H14" s="53" t="str">
        <x:v>P0</x:v>
      </x:c>
      <x:c r="I14" s="53" t="str">
        <x:v>Critical</x:v>
      </x:c>
      <x:c r="J14" s="47" t="str">
        <x:v>System</x:v>
      </x:c>
      <x:c r="K14" s="47" t="str">
        <x:v>Multiple active agents with capacities; listing agents; prioritized rules; duplicate leads; timestamps crossing SLA/reminder/escalation thresholds.</x:v>
      </x:c>
      <x:c r="L14" s="47" t="str">
        <x:v>Rule priority/conditions/assignee, max active leads, round-robin cursor, SLA minutes, reminder/escalation/reassignment windows.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Multiple active agents with capacities; listing agents; prioritized rules; duplicate leads; timestamps crossing SLA/reminder/escalation thresholds.
2. Sign in/use role: System.
3. Navigate to /leads automation settings/rules/dashboard/duplicates/events panels and capture the initial UI/API/database state.
4. Execute: Fill Agent A to max_active_leads, leave Agent B below capacity, and process several matching leads.
5. Inspect the network request/response against: GET/PATCH /api/leads/automation/settings/; CRUD /api/leads/automation/rules/; duplicate review/events/dashboard; POST /api/leads/automation/process/.
6. Refresh/re-query the feature and related modules: Lead creation, properties/agents, interactions, notifications/email, scheduler.
7. Verify affected models (LeadAutomationSettings, LeadAssignmentRule, LeadDuplicateFlag, LeadAutomationEvent, Lead, Notification) and all listed side effects.</x:v>
      </x:c>
      <x:c r="O14" s="47" t="str">
        <x:v>Capacity-full agent is skipped; eligible agents rotate deterministically; no lead exceeds configured agent capacity due to sequential processing.</x:v>
      </x:c>
      <x:c r="P14" s="47" t="str">
        <x:v>Assignments and round-robin state update without cross-tenant candidates.</x:v>
      </x:c>
      <x:c r="Q14" s="47" t="str">
        <x:v>Process endpoint/command succeeds and reports counts.</x:v>
      </x:c>
      <x:c r="R14" s="47" t="str">
        <x:v>Dashboard workload matches assignments.</x:v>
      </x:c>
      <x:c r="S14" s="47" t="str">
        <x:v>Notifications sent only to actual assignees.</x:v>
      </x:c>
      <x:c r="T14" s="47" t="str">
        <x:v>Lead creation, properties/agents, interactions, notifications/email, scheduler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AUTO-011</x:v>
      </x:c>
      <x:c r="B15" s="47" t="str">
        <x:v>Rule-Based Lead Automation</x:v>
      </x:c>
      <x:c r="C15" s="47" t="str">
        <x:v>Rule-Based Lead Automation</x:v>
      </x:c>
      <x:c r="D15" s="47" t="str">
        <x:v>Duplicate phone is flagged for manager review</x:v>
      </x:c>
      <x:c r="E15" s="47" t="str">
        <x:v>Create two Agency A leads with the same normalized phone and then one in Agency B.</x:v>
      </x:c>
      <x:c r="F15" s="47" t="str">
        <x:v>Duplicate phone is flagged for manager review</x:v>
      </x:c>
      <x:c r="G15" s="47" t="str">
        <x:v>Integration</x:v>
      </x:c>
      <x:c r="H15" s="53" t="str">
        <x:v>P1</x:v>
      </x:c>
      <x:c r="I15" s="53" t="str">
        <x:v>High</x:v>
      </x:c>
      <x:c r="J15" s="47" t="str">
        <x:v>Agency Manager</x:v>
      </x:c>
      <x:c r="K15" s="47" t="str">
        <x:v>Multiple active agents with capacities; listing agents; prioritized rules; duplicate leads; timestamps crossing SLA/reminder/escalation thresholds.</x:v>
      </x:c>
      <x:c r="L15" s="47" t="str">
        <x:v>Rule priority/conditions/assignee, max active leads, round-robin cursor, SLA minutes, reminder/escalation/reassignment windows.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Multiple active agents with capacities; listing agents; prioritized rules; duplicate leads; timestamps crossing SLA/reminder/escalation thresholds.
2. Sign in/use role: Agency Manager.
3. Navigate to /leads automation settings/rules/dashboard/duplicates/events panels and capture the initial UI/API/database state.
4. Execute: Create two Agency A leads with the same normalized phone and then one in Agency B.
5. Inspect the network request/response against: GET/PATCH /api/leads/automation/settings/; CRUD /api/leads/automation/rules/; duplicate review/events/dashboard; POST /api/leads/automation/process/.
6. Refresh/re-query the feature and related modules: Lead creation, properties/agents, interactions, notifications/email, scheduler.
7. Verify affected models (LeadAutomationSettings, LeadAssignmentRule, LeadDuplicateFlag, LeadAutomationEvent, Lead, Notification) and all listed side effects.</x:v>
      </x:c>
      <x:c r="O15" s="47" t="str">
        <x:v>Only the Agency A pair creates a tenant-scoped pending duplicate flag; no cross-agency comparison.</x:v>
      </x:c>
      <x:c r="P15" s="47" t="str">
        <x:v>One LeadDuplicateFlag for A pair; none across A/B.</x:v>
      </x:c>
      <x:c r="Q15" s="47" t="str">
        <x:v>Duplicates list returns only requesting tenant; review endpoint accepts confirmed/dismissed.</x:v>
      </x:c>
      <x:c r="R15" s="47" t="str">
        <x:v>Manager sees the pair and reasons/score.</x:v>
      </x:c>
      <x:c r="S15" s="47" t="str">
        <x:v>Leads are not silently merged by review unless explicitly implemented.</x:v>
      </x:c>
      <x:c r="T15" s="47" t="str">
        <x:v>Lead creation, properties/agents, interactions, notifications/email, scheduler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AUTO-012</x:v>
      </x:c>
      <x:c r="B16" s="48" t="str">
        <x:v>Rule-Based Lead Automation</x:v>
      </x:c>
      <x:c r="C16" s="48" t="str">
        <x:v>Rule-Based Lead Automation</x:v>
      </x:c>
      <x:c r="D16" s="48" t="str">
        <x:v>Neglected lead escalation and reassignment are idempotent</x:v>
      </x:c>
      <x:c r="E16" s="48" t="str">
        <x:v>Backdate an unanswered lead past escalation/reassignment thresholds and run processing twice.</x:v>
      </x:c>
      <x:c r="F16" s="48" t="str">
        <x:v>Neglected lead escalation and reassignment are idempotent</x:v>
      </x:c>
      <x:c r="G16" s="48" t="str">
        <x:v>Background Job</x:v>
      </x:c>
      <x:c r="H16" s="54" t="str">
        <x:v>P0</x:v>
      </x:c>
      <x:c r="I16" s="54" t="str">
        <x:v>Critical</x:v>
      </x:c>
      <x:c r="J16" s="48" t="str">
        <x:v>Scheduler</x:v>
      </x:c>
      <x:c r="K16" s="48" t="str">
        <x:v>Multiple active agents with capacities; listing agents; prioritized rules; duplicate leads; timestamps crossing SLA/reminder/escalation thresholds.</x:v>
      </x:c>
      <x:c r="L16" s="48" t="str">
        <x:v>Rule priority/conditions/assignee, max active leads, round-robin cursor, SLA minutes, reminder/escalation/reassignment windows.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Multiple active agents with capacities; listing agents; prioritized rules; duplicate leads; timestamps crossing SLA/reminder/escalation thresholds.
2. Sign in/use role: Scheduler.
3. Navigate to /leads automation settings/rules/dashboard/duplicates/events panels and capture the initial UI/API/database state.
4. Execute: Backdate an unanswered lead past escalation/reassignment thresholds and run processing twice.
5. Inspect the network request/response against: GET/PATCH /api/leads/automation/settings/; CRUD /api/leads/automation/rules/; duplicate review/events/dashboard; POST /api/leads/automation/process/.
6. Refresh/re-query the feature and related modules: Lead creation, properties/agents, interactions, notifications/email, scheduler.
7. Verify affected models (LeadAutomationSettings, LeadAssignmentRule, LeadDuplicateFlag, LeadAutomationEvent, Lead, Notification) and all listed side effects.</x:v>
      </x:c>
      <x:c r="O16" s="48" t="str">
        <x:v>Manager alert and reassignment occur once for the eligible window; second run produces no duplicate side effects.</x:v>
      </x:c>
      <x:c r="P16" s="48" t="str">
        <x:v>One logical escalation/reassignment event; lead assignee/history timestamps stable after second run.</x:v>
      </x:c>
      <x:c r="Q16" s="48" t="str">
        <x:v>Command/API reports first-run work then zero/already-processed.</x:v>
      </x:c>
      <x:c r="R16" s="48" t="str">
        <x:v>Dashboards show one escalation; users do not receive duplicate alerts.</x:v>
      </x:c>
      <x:c r="S16" s="48" t="str">
        <x:v>Old/new assignee notification behavior matches current service.</x:v>
      </x:c>
      <x:c r="T16" s="48" t="str">
        <x:v>Lead creation, properties/agents, interactions, notifications/email, scheduler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88" priority="1">
      <x:formula>H5="P0"</x:formula>
    </x:cfRule>
    <x:cfRule type="expression" dxfId="89" priority="2">
      <x:formula>H5="P1"</x:formula>
    </x:cfRule>
    <x:cfRule type="expression" dxfId="90" priority="3">
      <x:formula>H5="P2"</x:formula>
    </x:cfRule>
    <x:cfRule type="expression" dxfId="91" priority="4">
      <x:formula>H5="P3"</x:formula>
    </x:cfRule>
  </x:conditionalFormatting>
  <x:conditionalFormatting sqref="W5:W16">
    <x:cfRule type="expression" dxfId="92" priority="5">
      <x:formula>W5="Passed"</x:formula>
    </x:cfRule>
    <x:cfRule type="expression" dxfId="93" priority="6">
      <x:formula>W5="Failed"</x:formula>
    </x:cfRule>
    <x:cfRule type="expression" dxfId="94" priority="7">
      <x:formula>W5="Blocked"</x:formula>
    </x:cfRule>
    <x:cfRule type="expression" dxfId="95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1db4067c114fb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Meta Unified Inbox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INBOX-001</x:v>
      </x:c>
      <x:c r="B5" s="46" t="str">
        <x:v>Meta Unified Inbox</x:v>
      </x:c>
      <x:c r="C5" s="46" t="str">
        <x:v>Meta Unified Inbox</x:v>
      </x:c>
      <x:c r="D5" s="46" t="str">
        <x:v>Complete the primary Meta Unified Inbox workflow</x:v>
      </x:c>
      <x:c r="E5" s="46" t="str">
        <x:v>Ingest a signed message, open/assign the conversation, create or link a lead, reply, mark read and close/pending it.</x:v>
      </x:c>
      <x:c r="F5" s="46" t="str">
        <x:v>Complete the primary Meta Unified Inbox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Connected Meta Facebook/Instagram accounts for two agencies; valid app secret/signature; inbound webhook fixtures; mocked Graph API.</x:v>
      </x:c>
      <x:c r="L5" s="46" t="str">
        <x:v>Provider conversation/message IDs, text/media message types, delivery statuses, assignments, lead IDs and conversation statuses.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Connected Meta Facebook/Instagram accounts for two agencies; valid app secret/signature; inbound webhook fixtures; mocked Graph API.
2. Sign in/use role: Agency Owner.
3. Navigate to /inbox and capture the initial UI/API/database state.
4. Execute: Ingest a signed message, open/assign the conversation, create or link a lead, reply, mark read and close/pending it.
5. Inspect the network request/response against: GET /api/inbox/conversations/; detail/messages/reply/assign/link-lead/create-lead/mark-read/status; GET/POST /api/webhooks/meta/.
6. Refresh/re-query the feature and related modules: Meta social accounts, lead service/automation, agents, Graph API, webhook security.
7. Verify affected models (InboxConversation, InboxMessage, SocialAccount, Lead, LeadInteraction) and all listed side effects.</x:v>
      </x:c>
      <x:c r="O5" s="46" t="str">
        <x:v>Inbound provider message is stored once in the correct tenant conversation; CRM linkage and outbound delivery state are consistent.</x:v>
      </x:c>
      <x:c r="P5" s="46" t="str">
        <x:v>Conversation/message rows add/update; unread_count/last_message_at/status/assignment update; create-lead may add Lead/Interaction/automation records.</x:v>
      </x:c>
      <x:c r="Q5" s="46" t="str">
        <x:v>Use the documented routes: GET /api/inbox/conversations/; detail/messages/reply/assign/link-lead/create-lead/mark-read/status; GET/POST /api/webhooks/meta/. Successful create operations return 201, reads/updates/actions 200, and deletes 204 where provided; capture exact endpoint-specific response.</x:v>
      </x:c>
      <x:c r="R5" s="46" t="str">
        <x:v>Start at /inbox. The visible state must match the saved API response after refresh.</x:v>
      </x:c>
      <x:c r="S5" s="46" t="str">
        <x:v>Agent notifications, lead workspace/timeline, automation assignment, manager inbox metrics and Graph delivery change.</x:v>
      </x:c>
      <x:c r="T5" s="46" t="str">
        <x:v>Meta social accounts, lead service/automation, agents, Graph API, webhook security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INBOX-002</x:v>
      </x:c>
      <x:c r="B6" s="47" t="str">
        <x:v>Meta Unified Inbox</x:v>
      </x:c>
      <x:c r="C6" s="47" t="str">
        <x:v>Meta Unified Inbox</x:v>
      </x:c>
      <x:c r="D6" s="47" t="str">
        <x:v>Reject invalid or missing Meta Unified Inbox inputs</x:v>
      </x:c>
      <x:c r="E6" s="47" t="str">
        <x:v>Reject invalid signature, unknown account, duplicate provider message, cross-tenant assignment/lead, unassigned-agent access where restricted, and provider reply errors.</x:v>
      </x:c>
      <x:c r="F6" s="47" t="str">
        <x:v>Reject invalid or missing Meta Unified Inbox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Connected Meta Facebook/Instagram accounts for two agencies; valid app secret/signature; inbound webhook fixtures; mocked Graph API.</x:v>
      </x:c>
      <x:c r="L6" s="47" t="str">
        <x:v>Provider conversation/message IDs, text/media message types, delivery statuses, assignments, lead IDs and conversation statuses.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Connected Meta Facebook/Instagram accounts for two agencies; valid app secret/signature; inbound webhook fixtures; mocked Graph API.
2. Sign in/use role: Agency Owner.
3. Navigate to /inbox and capture the initial UI/API/database state.
4. Execute: Reject invalid signature, unknown account, duplicate provider message, cross-tenant assignment/lead, unassigned-agent access where restricted, and provider reply errors.
5. Inspect the network request/response against: GET /api/inbox/conversations/; detail/messages/reply/assign/link-lead/create-lead/mark-read/status; GET/POST /api/webhooks/meta/.
6. Refresh/re-query the feature and related modules: Meta social accounts, lead service/automation, agents, Graph API, webhook security.
7. Verify affected models (InboxConversation, InboxMessage, SocialAccount, Lead, LeadInteraction)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Meta social accounts, lead service/automation, agents, Graph API, webhook security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INBOX-003</x:v>
      </x:c>
      <x:c r="B7" s="47" t="str">
        <x:v>Meta Unified Inbox</x:v>
      </x:c>
      <x:c r="C7" s="47" t="str">
        <x:v>Meta Unified Inbox</x:v>
      </x:c>
      <x:c r="D7" s="47" t="str">
        <x:v>Enforce Meta Unified Inbox role permissions</x:v>
      </x:c>
      <x:c r="E7" s="47" t="str">
        <x:v>Conversations are tenant scoped; agents can claim/reply according to current view permissions; cross-agency conversations/accounts/leads are never linkable.</x:v>
      </x:c>
      <x:c r="F7" s="47" t="str">
        <x:v>Enforce Meta Unified Inbox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Connected Meta Facebook/Instagram accounts for two agencies; valid app secret/signature; inbound webhook fixtures; mocked Graph API.</x:v>
      </x:c>
      <x:c r="L7" s="47" t="str">
        <x:v>Provider conversation/message IDs, text/media message types, delivery statuses, assignments, lead IDs and conversation statuses.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Connected Meta Facebook/Instagram accounts for two agencies; valid app secret/signature; inbound webhook fixtures; mocked Graph API.
2. Sign in/use role: Exercise every listed role plus an unauthenticated caller.
3. Navigate to /inbox and capture the initial UI/API/database state.
4. Execute: Conversations are tenant scoped; agents can claim/reply according to current view permissions; cross-agency conversations/accounts/leads are never linkable.
5. Inspect the network request/response against: GET /api/inbox/conversations/; detail/messages/reply/assign/link-lead/create-lead/mark-read/status; GET/POST /api/webhooks/meta/.
6. Refresh/re-query the feature and related modules: Meta social accounts, lead service/automation, agents, Graph API, webhook security.
7. Verify affected models (InboxConversation, InboxMessage, SocialAccount, Lead, LeadInteraction)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Meta social accounts, lead service/automation, agents, Graph API, webhook security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INBOX-004</x:v>
      </x:c>
      <x:c r="B8" s="47" t="str">
        <x:v>Meta Unified Inbox</x:v>
      </x:c>
      <x:c r="C8" s="47" t="str">
        <x:v>Meta Unified Inbox</x:v>
      </x:c>
      <x:c r="D8" s="47" t="str">
        <x:v>Prevent cross-tenant access in Meta Unified Inbox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Meta Unified Inbox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Connected Meta Facebook/Instagram accounts for two agencies; valid app secret/signature; inbound webhook fixtures; mocked Graph API.</x:v>
      </x:c>
      <x:c r="L8" s="47" t="str">
        <x:v>Provider conversation/message IDs, text/media message types, delivery statuses, assignments, lead IDs and conversation statuses.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Connected Meta Facebook/Instagram accounts for two agencies; valid app secret/signature; inbound webhook fixtures; mocked Graph API.
2. Sign in/use role: Agency A authenticated user and Agency B fixture.
3. Navigate to /inbox and capture the initial UI/API/database state.
4. Execute: Substitute Agency B object IDs, related IDs, slugs, files and filter parameters into every Agency A list/detail/create/update/delete/action request.
5. Inspect the network request/response against: GET /api/inbox/conversations/; detail/messages/reply/assign/link-lead/create-lead/mark-read/status; GET/POST /api/webhooks/meta/.
6. Refresh/re-query the feature and related modules: Meta social accounts, lead service/automation, agents, Graph API, webhook security.
7. Verify affected models (InboxConversation, InboxMessage, SocialAccount, Lead, LeadInteraction)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Meta social accounts, lead service/automation, agents, Graph API, webhook security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INBOX-005</x:v>
      </x:c>
      <x:c r="B9" s="47" t="str">
        <x:v>Meta Unified Inbox</x:v>
      </x:c>
      <x:c r="C9" s="47" t="str">
        <x:v>Meta Unified Inbox</x:v>
      </x:c>
      <x:c r="D9" s="47" t="str">
        <x:v>Verify Meta Unified Inbox list, search and filter scoping</x:v>
      </x:c>
      <x:c r="E9" s="47" t="str">
        <x:v>Conversation list filters/search/status/assignment remain tenant-scoped; messages ordered chronologically.</x:v>
      </x:c>
      <x:c r="F9" s="47" t="str">
        <x:v>Verify Meta Unified Inbox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Connected Meta Facebook/Instagram accounts for two agencies; valid app secret/signature; inbound webhook fixtures; mocked Graph API.</x:v>
      </x:c>
      <x:c r="L9" s="47" t="str">
        <x:v>Provider conversation/message IDs, text/media message types, delivery statuses, assignments, lead IDs and conversation statuses.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Connected Meta Facebook/Instagram accounts for two agencies; valid app secret/signature; inbound webhook fixtures; mocked Graph API.
2. Sign in/use role: Agency Owner.
3. Navigate to /inbox and capture the initial UI/API/database state.
4. Execute: Conversation list filters/search/status/assignment remain tenant-scoped; messages ordered chronologically.
5. Inspect the network request/response against: GET /api/inbox/conversations/; detail/messages/reply/assign/link-lead/create-lead/mark-read/status; GET/POST /api/webhooks/meta/.
6. Refresh/re-query the feature and related modules: Meta social accounts, lead service/automation, agents, Graph API, webhook security.
7. Verify affected models (InboxConversation, InboxMessage, SocialAccount, Lead, LeadInteraction)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Meta social accounts, lead service/automation, agents, Graph API, webhook security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INBOX-006</x:v>
      </x:c>
      <x:c r="B10" s="47" t="str">
        <x:v>Meta Unified Inbox</x:v>
      </x:c>
      <x:c r="C10" s="47" t="str">
        <x:v>Meta Unified Inbox</x:v>
      </x:c>
      <x:c r="D10" s="47" t="str">
        <x:v>Test duplicate submission and idempotency for Meta Unified Inbox</x:v>
      </x:c>
      <x:c r="E10" s="47" t="str">
        <x:v>Double-click/submit identical requests sequentially and concurrently. Current rule: Webhook delivery is idempotent on provider IDs; repeated reply action may send twice if client repeats after ambiguous timeout, so test and document.</x:v>
      </x:c>
      <x:c r="F10" s="47" t="str">
        <x:v>Test duplicate submission and idempotency for Meta Unified Inbox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Connected Meta Facebook/Instagram accounts for two agencies; valid app secret/signature; inbound webhook fixtures; mocked Graph API.</x:v>
      </x:c>
      <x:c r="L10" s="47" t="str">
        <x:v>Provider conversation/message IDs, text/media message types, delivery statuses, assignments, lead IDs and conversation statuses.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Connected Meta Facebook/Instagram accounts for two agencies; valid app secret/signature; inbound webhook fixtures; mocked Graph API.
2. Sign in/use role: Agency Owner.
3. Navigate to /inbox and capture the initial UI/API/database state.
4. Execute: Double-click/submit identical requests sequentially and concurrently. Current rule: Webhook delivery is idempotent on provider IDs; repeated reply action may send twice if client repeats after ambiguous timeout, so test and document.
5. Inspect the network request/response against: GET /api/inbox/conversations/; detail/messages/reply/assign/link-lead/create-lead/mark-read/status; GET/POST /api/webhooks/meta/.
6. Refresh/re-query the feature and related modules: Meta social accounts, lead service/automation, agents, Graph API, webhook security.
7. Verify affected models (InboxConversation, InboxMessage, SocialAccount, Lead, LeadInteraction)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Meta social accounts, lead service/automation, agents, Graph API, webhook security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INBOX-007</x:v>
      </x:c>
      <x:c r="B11" s="47" t="str">
        <x:v>Meta Unified Inbox</x:v>
      </x:c>
      <x:c r="C11" s="47" t="str">
        <x:v>Meta Unified Inbox</x:v>
      </x:c>
      <x:c r="D11" s="47" t="str">
        <x:v>Verify deletion and dependency behavior for Meta Unified Inbox</x:v>
      </x:c>
      <x:c r="E11" s="47" t="str">
        <x:v>Delete an unreferenced record, a referenced record, a foreign-tenant record, and an already-deleted ID. Current rule: Conversation status close/spam does not delete message history; hard-delete endpoints are not exposed.</x:v>
      </x:c>
      <x:c r="F11" s="47" t="str">
        <x:v>Verify deletion and dependency behavior for Meta Unified Inbox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Connected Meta Facebook/Instagram accounts for two agencies; valid app secret/signature; inbound webhook fixtures; mocked Graph API.</x:v>
      </x:c>
      <x:c r="L11" s="47" t="str">
        <x:v>Provider conversation/message IDs, text/media message types, delivery statuses, assignments, lead IDs and conversation statuses.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Connected Meta Facebook/Instagram accounts for two agencies; valid app secret/signature; inbound webhook fixtures; mocked Graph API.
2. Sign in/use role: Agency Owner or Agency Manager.
3. Navigate to /inbox and capture the initial UI/API/database state.
4. Execute: Delete an unreferenced record, a referenced record, a foreign-tenant record, and an already-deleted ID. Current rule: Conversation status close/spam does not delete message history; hard-delete endpoints are not exposed.
5. Inspect the network request/response against: GET /api/inbox/conversations/; detail/messages/reply/assign/link-lead/create-lead/mark-read/status; GET/POST /api/webhooks/meta/.
6. Refresh/re-query the feature and related modules: Meta social accounts, lead service/automation, agents, Graph API, webhook security.
7. Verify affected models (InboxConversation, InboxMessage, SocialAccount, Lead, LeadInteraction)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Meta social accounts, lead service/automation, agents, Graph API, webhook security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INBOX-008</x:v>
      </x:c>
      <x:c r="B12" s="47" t="str">
        <x:v>Meta Unified Inbox</x:v>
      </x:c>
      <x:c r="C12" s="47" t="str">
        <x:v>Meta Unified Inbox</x:v>
      </x:c>
      <x:c r="D12" s="47" t="str">
        <x:v>Recover cleanly from API/network failure during Meta Unified Inbox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Meta Unified Inbox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Connected Meta Facebook/Instagram accounts for two agencies; valid app secret/signature; inbound webhook fixtures; mocked Graph API.</x:v>
      </x:c>
      <x:c r="L12" s="47" t="str">
        <x:v>Provider conversation/message IDs, text/media message types, delivery statuses, assignments, lead IDs and conversation statuses.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Connected Meta Facebook/Instagram accounts for two agencies; valid app secret/signature; inbound webhook fixtures; mocked Graph API.
2. Sign in/use role: Agency Owner.
3. Navigate to /inbox and capture the initial UI/API/database state.
4. Execute: Simulate timeout, offline browser, 500 response, expired access token and failed refresh while submitting the primary workflow.
5. Inspect the network request/response against: GET /api/inbox/conversations/; detail/messages/reply/assign/link-lead/create-lead/mark-read/status; GET/POST /api/webhooks/meta/.
6. Refresh/re-query the feature and related modules: Meta social accounts, lead service/automation, agents, Graph API, webhook security.
7. Verify affected models (InboxConversation, InboxMessage, SocialAccount, Lead, LeadInteraction)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Meta social accounts, lead service/automation, agents, Graph API, webhook security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INBOX-009</x:v>
      </x:c>
      <x:c r="B13" s="47" t="str">
        <x:v>Meta Unified Inbox</x:v>
      </x:c>
      <x:c r="C13" s="47" t="str">
        <x:v>Meta Unified Inbox</x:v>
      </x:c>
      <x:c r="D13" s="47" t="str">
        <x:v>Invalid Meta webhook signature is rejected</x:v>
      </x:c>
      <x:c r="E13" s="47" t="str">
        <x:v>POST a realistic webhook body with missing/incorrect X-Hub-Signature-256.</x:v>
      </x:c>
      <x:c r="F13" s="47" t="str">
        <x:v>Invalid Meta webhook signature is rejected</x:v>
      </x:c>
      <x:c r="G13" s="47" t="str">
        <x:v>Security</x:v>
      </x:c>
      <x:c r="H13" s="53" t="str">
        <x:v>P0</x:v>
      </x:c>
      <x:c r="I13" s="53" t="str">
        <x:v>Critical</x:v>
      </x:c>
      <x:c r="J13" s="47" t="str">
        <x:v>External caller</x:v>
      </x:c>
      <x:c r="K13" s="47" t="str">
        <x:v>Connected Meta Facebook/Instagram accounts for two agencies; valid app secret/signature; inbound webhook fixtures; mocked Graph API.</x:v>
      </x:c>
      <x:c r="L13" s="47" t="str">
        <x:v>Provider conversation/message IDs, text/media message types, delivery statuses, assignments, lead IDs and conversation statuses.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Connected Meta Facebook/Instagram accounts for two agencies; valid app secret/signature; inbound webhook fixtures; mocked Graph API.
2. Sign in/use role: External caller.
3. Navigate to /inbox and capture the initial UI/API/database state.
4. Execute: POST a realistic webhook body with missing/incorrect X-Hub-Signature-256.
5. Inspect the network request/response against: GET /api/inbox/conversations/; detail/messages/reply/assign/link-lead/create-lead/mark-read/status; GET/POST /api/webhooks/meta/.
6. Refresh/re-query the feature and related modules: Meta social accounts, lead service/automation, agents, Graph API, webhook security.
7. Verify affected models (InboxConversation, InboxMessage, SocialAccount, Lead, LeadInteraction) and all listed side effects.</x:v>
      </x:c>
      <x:c r="O13" s="47" t="str">
        <x:v>Request is rejected before any payload processing.</x:v>
      </x:c>
      <x:c r="P13" s="47" t="str">
        <x:v>No conversation/message/lead rows are created or changed.</x:v>
      </x:c>
      <x:c r="Q13" s="47" t="str">
        <x:v>POST /api/webhooks/meta/ returns the implemented authentication error.</x:v>
      </x:c>
      <x:c r="R13" s="47" t="str">
        <x:v>No inbox update appears.</x:v>
      </x:c>
      <x:c r="S13" s="47" t="str">
        <x:v>No Graph API or notification call occurs.</x:v>
      </x:c>
      <x:c r="T13" s="47" t="str">
        <x:v>Meta social accounts, lead service/automation, agents, Graph API, webhook security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INBOX-010</x:v>
      </x:c>
      <x:c r="B14" s="47" t="str">
        <x:v>Meta Unified Inbox</x:v>
      </x:c>
      <x:c r="C14" s="47" t="str">
        <x:v>Meta Unified Inbox</x:v>
      </x:c>
      <x:c r="D14" s="47" t="str">
        <x:v>Same provider message is ingested once</x:v>
      </x:c>
      <x:c r="E14" s="47" t="str">
        <x:v>Deliver the identical Facebook/Instagram message event twice.</x:v>
      </x:c>
      <x:c r="F14" s="47" t="str">
        <x:v>Same provider message is ingested once</x:v>
      </x:c>
      <x:c r="G14" s="47" t="str">
        <x:v>Idempotency</x:v>
      </x:c>
      <x:c r="H14" s="53" t="str">
        <x:v>P0</x:v>
      </x:c>
      <x:c r="I14" s="53" t="str">
        <x:v>Critical</x:v>
      </x:c>
      <x:c r="J14" s="47" t="str">
        <x:v>Meta webhook system</x:v>
      </x:c>
      <x:c r="K14" s="47" t="str">
        <x:v>Connected Meta Facebook/Instagram accounts for two agencies; valid app secret/signature; inbound webhook fixtures; mocked Graph API.</x:v>
      </x:c>
      <x:c r="L14" s="47" t="str">
        <x:v>Provider conversation/message IDs, text/media message types, delivery statuses, assignments, lead IDs and conversation statuses.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Connected Meta Facebook/Instagram accounts for two agencies; valid app secret/signature; inbound webhook fixtures; mocked Graph API.
2. Sign in/use role: Meta webhook system.
3. Navigate to /inbox and capture the initial UI/API/database state.
4. Execute: Deliver the identical Facebook/Instagram message event twice.
5. Inspect the network request/response against: GET /api/inbox/conversations/; detail/messages/reply/assign/link-lead/create-lead/mark-read/status; GET/POST /api/webhooks/meta/.
6. Refresh/re-query the feature and related modules: Meta social accounts, lead service/automation, agents, Graph API, webhook security.
7. Verify affected models (InboxConversation, InboxMessage, SocialAccount, Lead, LeadInteraction) and all listed side effects.</x:v>
      </x:c>
      <x:c r="O14" s="47" t="str">
        <x:v>One message exists and conversation counters/timestamps are not doubled.</x:v>
      </x:c>
      <x:c r="P14" s="47" t="str">
        <x:v>InboxMessage unique provider ID prevents duplicate; unread_count increments once.</x:v>
      </x:c>
      <x:c r="Q14" s="47" t="str">
        <x:v>Both deliveries are acknowledged safely without 500.</x:v>
      </x:c>
      <x:c r="R14" s="47" t="str">
        <x:v>One message bubble appears.</x:v>
      </x:c>
      <x:c r="S14" s="47" t="str">
        <x:v>At most one lead/notification side effect.</x:v>
      </x:c>
      <x:c r="T14" s="47" t="str">
        <x:v>Meta social accounts, lead service/automation, agents, Graph API, webhook security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INBOX-011</x:v>
      </x:c>
      <x:c r="B15" s="47" t="str">
        <x:v>Meta Unified Inbox</x:v>
      </x:c>
      <x:c r="C15" s="47" t="str">
        <x:v>Meta Unified Inbox</x:v>
      </x:c>
      <x:c r="D15" s="47" t="str">
        <x:v>Facebook and Instagram normalize into same inbox contract</x:v>
      </x:c>
      <x:c r="E15" s="47" t="str">
        <x:v>Ingest equivalent text/media payloads from both connected platforms.</x:v>
      </x:c>
      <x:c r="F15" s="47" t="str">
        <x:v>Facebook and Instagram normalize into same inbox contract</x:v>
      </x:c>
      <x:c r="G15" s="47" t="str">
        <x:v>Integration</x:v>
      </x:c>
      <x:c r="H15" s="53" t="str">
        <x:v>P1</x:v>
      </x:c>
      <x:c r="I15" s="53" t="str">
        <x:v>High</x:v>
      </x:c>
      <x:c r="J15" s="47" t="str">
        <x:v>Agency user</x:v>
      </x:c>
      <x:c r="K15" s="47" t="str">
        <x:v>Connected Meta Facebook/Instagram accounts for two agencies; valid app secret/signature; inbound webhook fixtures; mocked Graph API.</x:v>
      </x:c>
      <x:c r="L15" s="47" t="str">
        <x:v>Provider conversation/message IDs, text/media message types, delivery statuses, assignments, lead IDs and conversation statuses.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Connected Meta Facebook/Instagram accounts for two agencies; valid app secret/signature; inbound webhook fixtures; mocked Graph API.
2. Sign in/use role: Agency user.
3. Navigate to /inbox and capture the initial UI/API/database state.
4. Execute: Ingest equivalent text/media payloads from both connected platforms.
5. Inspect the network request/response against: GET /api/inbox/conversations/; detail/messages/reply/assign/link-lead/create-lead/mark-read/status; GET/POST /api/webhooks/meta/.
6. Refresh/re-query the feature and related modules: Meta social accounts, lead service/automation, agents, Graph API, webhook security.
7. Verify affected models (InboxConversation, InboxMessage, SocialAccount, Lead, LeadInteraction) and all listed side effects.</x:v>
      </x:c>
      <x:c r="O15" s="47" t="str">
        <x:v>Both appear through the same conversation/message API with correct platform/account metadata.</x:v>
      </x:c>
      <x:c r="P15" s="47" t="str">
        <x:v>Separate provider records with normalized fields and correct agency.</x:v>
      </x:c>
      <x:c r="Q15" s="47" t="str">
        <x:v>Conversation list/messages return 200 and common serializer shape.</x:v>
      </x:c>
      <x:c r="R15" s="47" t="str">
        <x:v>UI renders consistent bubbles and platform badges.</x:v>
      </x:c>
      <x:c r="S15" s="47" t="str">
        <x:v>CRM link/create actions work for either platform.</x:v>
      </x:c>
      <x:c r="T15" s="47" t="str">
        <x:v>Meta social accounts, lead service/automation, agents, Graph API, webhook security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INBOX-012</x:v>
      </x:c>
      <x:c r="B16" s="48" t="str">
        <x:v>Meta Unified Inbox</x:v>
      </x:c>
      <x:c r="C16" s="48" t="str">
        <x:v>Meta Unified Inbox</x:v>
      </x:c>
      <x:c r="D16" s="48" t="str">
        <x:v>Reply provider failure preserves actionable local state</x:v>
      </x:c>
      <x:c r="E16" s="48" t="str">
        <x:v>Mock Graph timeout/4xx while sending a reply.</x:v>
      </x:c>
      <x:c r="F16" s="48" t="str">
        <x:v>Reply provider failure preserves actionable local state</x:v>
      </x:c>
      <x:c r="G16" s="48" t="str">
        <x:v>Recovery</x:v>
      </x:c>
      <x:c r="H16" s="54" t="str">
        <x:v>P0</x:v>
      </x:c>
      <x:c r="I16" s="54" t="str">
        <x:v>Critical</x:v>
      </x:c>
      <x:c r="J16" s="48" t="str">
        <x:v>Assigned Agent</x:v>
      </x:c>
      <x:c r="K16" s="48" t="str">
        <x:v>Connected Meta Facebook/Instagram accounts for two agencies; valid app secret/signature; inbound webhook fixtures; mocked Graph API.</x:v>
      </x:c>
      <x:c r="L16" s="48" t="str">
        <x:v>Provider conversation/message IDs, text/media message types, delivery statuses, assignments, lead IDs and conversation statuses.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Connected Meta Facebook/Instagram accounts for two agencies; valid app secret/signature; inbound webhook fixtures; mocked Graph API.
2. Sign in/use role: Assigned Agent.
3. Navigate to /inbox and capture the initial UI/API/database state.
4. Execute: Mock Graph timeout/4xx while sending a reply.
5. Inspect the network request/response against: GET /api/inbox/conversations/; detail/messages/reply/assign/link-lead/create-lead/mark-read/status; GET/POST /api/webhooks/meta/.
6. Refresh/re-query the feature and related modules: Meta social accounts, lead service/automation, agents, Graph API, webhook security.
7. Verify affected models (InboxConversation, InboxMessage, SocialAccount, Lead, LeadInteraction) and all listed side effects.</x:v>
      </x:c>
      <x:c r="O16" s="48" t="str">
        <x:v>User gets an actionable error and delivery is not falsely marked sent; safe retry remains possible.</x:v>
      </x:c>
      <x:c r="P16" s="48" t="str">
        <x:v>Outbound message is failed/pending according to implementation with error_message; inbound history unchanged.</x:v>
      </x:c>
      <x:c r="Q16" s="48" t="str">
        <x:v>Reply endpoint returns non-2xx/actionable payload.</x:v>
      </x:c>
      <x:c r="R16" s="48" t="str">
        <x:v>Failed status and retry guidance appear; no duplicate success bubble.</x:v>
      </x:c>
      <x:c r="S16" s="48" t="str">
        <x:v>No lead response-time success should be recorded until send succeeds.</x:v>
      </x:c>
      <x:c r="T16" s="48" t="str">
        <x:v>Meta social accounts, lead service/automation, agents, Graph API, webhook security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Maybe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96" priority="1">
      <x:formula>H5="P0"</x:formula>
    </x:cfRule>
    <x:cfRule type="expression" dxfId="97" priority="2">
      <x:formula>H5="P1"</x:formula>
    </x:cfRule>
    <x:cfRule type="expression" dxfId="98" priority="3">
      <x:formula>H5="P2"</x:formula>
    </x:cfRule>
    <x:cfRule type="expression" dxfId="99" priority="4">
      <x:formula>H5="P3"</x:formula>
    </x:cfRule>
  </x:conditionalFormatting>
  <x:conditionalFormatting sqref="W5:W16">
    <x:cfRule type="expression" dxfId="100" priority="5">
      <x:formula>W5="Passed"</x:formula>
    </x:cfRule>
    <x:cfRule type="expression" dxfId="101" priority="6">
      <x:formula>W5="Failed"</x:formula>
    </x:cfRule>
    <x:cfRule type="expression" dxfId="102" priority="7">
      <x:formula>W5="Blocked"</x:formula>
    </x:cfRule>
    <x:cfRule type="expression" dxfId="103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7d3d7c4f5a4b9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Site Visits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VISIT-001</x:v>
      </x:c>
      <x:c r="B5" s="46" t="str">
        <x:v>Site Visits</x:v>
      </x:c>
      <x:c r="C5" s="46" t="str">
        <x:v>Site Visits</x:v>
      </x:c>
      <x:c r="D5" s="46" t="str">
        <x:v>Complete the primary Site Visits workflow</x:v>
      </x:c>
      <x:c r="E5" s="46" t="str">
        <x:v>Request a public visit, schedule it, send reminder, complete it, and inspect lead timeline.</x:v>
      </x:c>
      <x:c r="F5" s="46" t="str">
        <x:v>Complete the primary Site Visits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Public visitor</x:v>
      </x:c>
      <x:c r="K5" s="46" t="str">
        <x:v>Public eligible property; lead/agent fixtures; future/past visit dates; reminder email capture; two agencies.</x:v>
      </x:c>
      <x:c r="L5" s="46" t="str">
        <x:v>Visitor identity/contact, scheduled_at, status requested/scheduled/completed/cancelled, notes and cancellation_reason.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Public eligible property; lead/agent fixtures; future/past visit dates; reminder email capture; two agencies.
2. Sign in/use role: Public visitor.
3. Navigate to /site-visits and public property visit form and capture the initial UI/API/database state.
4. Execute: Request a public visit, schedule it, send reminder, complete it, and inspect lead timeline.
5. Inspect the network request/response against: GET/POST /api/site-visits/; GET/PATCH/DELETE /api/site-visits/{id}/; POST /api/public/agencies/{license}/properties/{property_id}/request-site-visit/.
6. Refresh/re-query the feature and related modules: Public property, lead dedup/automation, email/reminders, dashboard and deal follow-up.
7. Verify affected models (SiteVisit, Lead, LeadStatusHistory, LeadInteraction, Notification, PropertyEvent) and all listed side effects.</x:v>
      </x:c>
      <x:c r="O5" s="46" t="str">
        <x:v>Visit is tenant/property scoped; lead is created/reused; completion advances lead/history; cancellation requires reason; reminder is sent once.</x:v>
      </x:c>
      <x:c r="P5" s="46" t="str">
        <x:v>SiteVisit +1/update/delete; public request adds/reuses Lead/Interest/Interaction/Event; completion adds LeadStatusHistory; reminder timestamp/error updates.</x:v>
      </x:c>
      <x:c r="Q5" s="46" t="str">
        <x:v>Use the documented routes: GET/POST /api/site-visits/; GET/PATCH/DELETE /api/site-visits/{id}/; POST /api/public/agencies/{license}/properties/{property_id}/request-site-visit/. Successful create operations return 201, reads/updates/actions 200, and deletes 204 where provided; capture exact endpoint-specific response.</x:v>
      </x:c>
      <x:c r="R5" s="46" t="str">
        <x:v>Start at /site-visits and public property visit form. The visible state must match the saved API response after refresh.</x:v>
      </x:c>
      <x:c r="S5" s="46" t="str">
        <x:v>Lead status/workspace, agent notifications/email, dashboard and source attribution change.</x:v>
      </x:c>
      <x:c r="T5" s="46" t="str">
        <x:v>Public property, lead dedup/automation, email/reminders, dashboard and deal follow-up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VISIT-002</x:v>
      </x:c>
      <x:c r="B6" s="47" t="str">
        <x:v>Site Visits</x:v>
      </x:c>
      <x:c r="C6" s="47" t="str">
        <x:v>Site Visits</x:v>
      </x:c>
      <x:c r="D6" s="47" t="str">
        <x:v>Reject invalid or missing Site Visits inputs</x:v>
      </x:c>
      <x:c r="E6" s="47" t="str">
        <x:v>Reject invalid/cross-agency property or agent, past/invalid dates where validated, completion without permission, cancellation without reason, and invalid status choice.</x:v>
      </x:c>
      <x:c r="F6" s="47" t="str">
        <x:v>Reject invalid or missing Site Visits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Public visitor</x:v>
      </x:c>
      <x:c r="K6" s="47" t="str">
        <x:v>Public eligible property; lead/agent fixtures; future/past visit dates; reminder email capture; two agencies.</x:v>
      </x:c>
      <x:c r="L6" s="47" t="str">
        <x:v>Visitor identity/contact, scheduled_at, status requested/scheduled/completed/cancelled, notes and cancellation_reason.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Public eligible property; lead/agent fixtures; future/past visit dates; reminder email capture; two agencies.
2. Sign in/use role: Public visitor.
3. Navigate to /site-visits and public property visit form and capture the initial UI/API/database state.
4. Execute: Reject invalid/cross-agency property or agent, past/invalid dates where validated, completion without permission, cancellation without reason, and invalid status choice.
5. Inspect the network request/response against: GET/POST /api/site-visits/; GET/PATCH/DELETE /api/site-visits/{id}/; POST /api/public/agencies/{license}/properties/{property_id}/request-site-visit/.
6. Refresh/re-query the feature and related modules: Public property, lead dedup/automation, email/reminders, dashboard and deal follow-up.
7. Verify affected models (SiteVisit, Lead, LeadStatusHistory, LeadInteraction, Notification, PropertyEvent)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Public property, lead dedup/automation, email/reminders, dashboard and deal follow-up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VISIT-003</x:v>
      </x:c>
      <x:c r="B7" s="47" t="str">
        <x:v>Site Visits</x:v>
      </x:c>
      <x:c r="C7" s="47" t="str">
        <x:v>Site Visits</x:v>
      </x:c>
      <x:c r="D7" s="47" t="str">
        <x:v>Enforce Site Visits role permissions</x:v>
      </x:c>
      <x:c r="E7" s="47" t="str">
        <x:v>Agency users see tenant visits; agents only assigned/relevant visits according to queryset; public can only create for eligible listing.</x:v>
      </x:c>
      <x:c r="F7" s="47" t="str">
        <x:v>Enforce Site Visits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Public eligible property; lead/agent fixtures; future/past visit dates; reminder email capture; two agencies.</x:v>
      </x:c>
      <x:c r="L7" s="47" t="str">
        <x:v>Visitor identity/contact, scheduled_at, status requested/scheduled/completed/cancelled, notes and cancellation_reason.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Public eligible property; lead/agent fixtures; future/past visit dates; reminder email capture; two agencies.
2. Sign in/use role: Exercise every listed role plus an unauthenticated caller.
3. Navigate to /site-visits and public property visit form and capture the initial UI/API/database state.
4. Execute: Agency users see tenant visits; agents only assigned/relevant visits according to queryset; public can only create for eligible listing.
5. Inspect the network request/response against: GET/POST /api/site-visits/; GET/PATCH/DELETE /api/site-visits/{id}/; POST /api/public/agencies/{license}/properties/{property_id}/request-site-visit/.
6. Refresh/re-query the feature and related modules: Public property, lead dedup/automation, email/reminders, dashboard and deal follow-up.
7. Verify affected models (SiteVisit, Lead, LeadStatusHistory, LeadInteraction, Notification, PropertyEvent)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Public property, lead dedup/automation, email/reminders, dashboard and deal follow-up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VISIT-004</x:v>
      </x:c>
      <x:c r="B8" s="47" t="str">
        <x:v>Site Visits</x:v>
      </x:c>
      <x:c r="C8" s="47" t="str">
        <x:v>Site Visits</x:v>
      </x:c>
      <x:c r="D8" s="47" t="str">
        <x:v>Prevent cross-tenant access in Site Visits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Site Visits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Public eligible property; lead/agent fixtures; future/past visit dates; reminder email capture; two agencies.</x:v>
      </x:c>
      <x:c r="L8" s="47" t="str">
        <x:v>Visitor identity/contact, scheduled_at, status requested/scheduled/completed/cancelled, notes and cancellation_reason.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Public eligible property; lead/agent fixtures; future/past visit dates; reminder email capture; two agencies.
2. Sign in/use role: Agency A authenticated user and Agency B fixture.
3. Navigate to /site-visits and public property visit form and capture the initial UI/API/database state.
4. Execute: Substitute Agency B object IDs, related IDs, slugs, files and filter parameters into every Agency A list/detail/create/update/delete/action request.
5. Inspect the network request/response against: GET/POST /api/site-visits/; GET/PATCH/DELETE /api/site-visits/{id}/; POST /api/public/agencies/{license}/properties/{property_id}/request-site-visit/.
6. Refresh/re-query the feature and related modules: Public property, lead dedup/automation, email/reminders, dashboard and deal follow-up.
7. Verify affected models (SiteVisit, Lead, LeadStatusHistory, LeadInteraction, Notification, PropertyEvent)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Public property, lead dedup/automation, email/reminders, dashboard and deal follow-up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VISIT-005</x:v>
      </x:c>
      <x:c r="B9" s="47" t="str">
        <x:v>Site Visits</x:v>
      </x:c>
      <x:c r="C9" s="47" t="str">
        <x:v>Site Visits</x:v>
      </x:c>
      <x:c r="D9" s="47" t="str">
        <x:v>Verify Site Visits list, search and filter scoping</x:v>
      </x:c>
      <x:c r="E9" s="47" t="str">
        <x:v>Filter/order by status/date/agent/property as exposed; direct detail tenant scoped.</x:v>
      </x:c>
      <x:c r="F9" s="47" t="str">
        <x:v>Verify Site Visits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Public visitor</x:v>
      </x:c>
      <x:c r="K9" s="47" t="str">
        <x:v>Public eligible property; lead/agent fixtures; future/past visit dates; reminder email capture; two agencies.</x:v>
      </x:c>
      <x:c r="L9" s="47" t="str">
        <x:v>Visitor identity/contact, scheduled_at, status requested/scheduled/completed/cancelled, notes and cancellation_reason.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Public eligible property; lead/agent fixtures; future/past visit dates; reminder email capture; two agencies.
2. Sign in/use role: Public visitor.
3. Navigate to /site-visits and public property visit form and capture the initial UI/API/database state.
4. Execute: Filter/order by status/date/agent/property as exposed; direct detail tenant scoped.
5. Inspect the network request/response against: GET/POST /api/site-visits/; GET/PATCH/DELETE /api/site-visits/{id}/; POST /api/public/agencies/{license}/properties/{property_id}/request-site-visit/.
6. Refresh/re-query the feature and related modules: Public property, lead dedup/automation, email/reminders, dashboard and deal follow-up.
7. Verify affected models (SiteVisit, Lead, LeadStatusHistory, LeadInteraction, Notification, PropertyEvent)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Public property, lead dedup/automation, email/reminders, dashboard and deal follow-up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VISIT-006</x:v>
      </x:c>
      <x:c r="B10" s="47" t="str">
        <x:v>Site Visits</x:v>
      </x:c>
      <x:c r="C10" s="47" t="str">
        <x:v>Site Visits</x:v>
      </x:c>
      <x:c r="D10" s="47" t="str">
        <x:v>Test duplicate submission and idempotency for Site Visits</x:v>
      </x:c>
      <x:c r="E10" s="47" t="str">
        <x:v>Double-click/submit identical requests sequentially and concurrently. Current rule: Public duplicate identity reuses lead; reminder command is idempotent; duplicate visit requests may create distinct visits unless guarded�record current behavior.</x:v>
      </x:c>
      <x:c r="F10" s="47" t="str">
        <x:v>Test duplicate submission and idempotency for Site Visits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Public visitor</x:v>
      </x:c>
      <x:c r="K10" s="47" t="str">
        <x:v>Public eligible property; lead/agent fixtures; future/past visit dates; reminder email capture; two agencies.</x:v>
      </x:c>
      <x:c r="L10" s="47" t="str">
        <x:v>Visitor identity/contact, scheduled_at, status requested/scheduled/completed/cancelled, notes and cancellation_reason.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Public eligible property; lead/agent fixtures; future/past visit dates; reminder email capture; two agencies.
2. Sign in/use role: Public visitor.
3. Navigate to /site-visits and public property visit form and capture the initial UI/API/database state.
4. Execute: Double-click/submit identical requests sequentially and concurrently. Current rule: Public duplicate identity reuses lead; reminder command is idempotent; duplicate visit requests may create distinct visits unless guarded�record current behavior.
5. Inspect the network request/response against: GET/POST /api/site-visits/; GET/PATCH/DELETE /api/site-visits/{id}/; POST /api/public/agencies/{license}/properties/{property_id}/request-site-visit/.
6. Refresh/re-query the feature and related modules: Public property, lead dedup/automation, email/reminders, dashboard and deal follow-up.
7. Verify affected models (SiteVisit, Lead, LeadStatusHistory, LeadInteraction, Notification, PropertyEvent)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Public property, lead dedup/automation, email/reminders, dashboard and deal follow-up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VISIT-007</x:v>
      </x:c>
      <x:c r="B11" s="47" t="str">
        <x:v>Site Visits</x:v>
      </x:c>
      <x:c r="C11" s="47" t="str">
        <x:v>Site Visits</x:v>
      </x:c>
      <x:c r="D11" s="47" t="str">
        <x:v>Verify deletion and dependency behavior for Site Visits</x:v>
      </x:c>
      <x:c r="E11" s="47" t="str">
        <x:v>Delete an unreferenced record, a referenced record, a foreign-tenant record, and an already-deleted ID. Current rule: Delete is authenticated and permission-scoped; deleting a visit must not delete lead/property; repeated delete returns not found.</x:v>
      </x:c>
      <x:c r="F11" s="47" t="str">
        <x:v>Verify deletion and dependency behavior for Site Visits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Public eligible property; lead/agent fixtures; future/past visit dates; reminder email capture; two agencies.</x:v>
      </x:c>
      <x:c r="L11" s="47" t="str">
        <x:v>Visitor identity/contact, scheduled_at, status requested/scheduled/completed/cancelled, notes and cancellation_reason.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Public eligible property; lead/agent fixtures; future/past visit dates; reminder email capture; two agencies.
2. Sign in/use role: Agency Owner or Agency Manager.
3. Navigate to /site-visits and public property visit form and capture the initial UI/API/database state.
4. Execute: Delete an unreferenced record, a referenced record, a foreign-tenant record, and an already-deleted ID. Current rule: Delete is authenticated and permission-scoped; deleting a visit must not delete lead/property; repeated delete returns not found.
5. Inspect the network request/response against: GET/POST /api/site-visits/; GET/PATCH/DELETE /api/site-visits/{id}/; POST /api/public/agencies/{license}/properties/{property_id}/request-site-visit/.
6. Refresh/re-query the feature and related modules: Public property, lead dedup/automation, email/reminders, dashboard and deal follow-up.
7. Verify affected models (SiteVisit, Lead, LeadStatusHistory, LeadInteraction, Notification, PropertyEvent)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Public property, lead dedup/automation, email/reminders, dashboard and deal follow-up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VISIT-008</x:v>
      </x:c>
      <x:c r="B12" s="47" t="str">
        <x:v>Site Visits</x:v>
      </x:c>
      <x:c r="C12" s="47" t="str">
        <x:v>Site Visits</x:v>
      </x:c>
      <x:c r="D12" s="47" t="str">
        <x:v>Recover cleanly from API/network failure during Site Visits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Site Visits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Public visitor</x:v>
      </x:c>
      <x:c r="K12" s="47" t="str">
        <x:v>Public eligible property; lead/agent fixtures; future/past visit dates; reminder email capture; two agencies.</x:v>
      </x:c>
      <x:c r="L12" s="47" t="str">
        <x:v>Visitor identity/contact, scheduled_at, status requested/scheduled/completed/cancelled, notes and cancellation_reason.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Public eligible property; lead/agent fixtures; future/past visit dates; reminder email capture; two agencies.
2. Sign in/use role: Public visitor.
3. Navigate to /site-visits and public property visit form and capture the initial UI/API/database state.
4. Execute: Simulate timeout, offline browser, 500 response, expired access token and failed refresh while submitting the primary workflow.
5. Inspect the network request/response against: GET/POST /api/site-visits/; GET/PATCH/DELETE /api/site-visits/{id}/; POST /api/public/agencies/{license}/properties/{property_id}/request-site-visit/.
6. Refresh/re-query the feature and related modules: Public property, lead dedup/automation, email/reminders, dashboard and deal follow-up.
7. Verify affected models (SiteVisit, Lead, LeadStatusHistory, LeadInteraction, Notification, PropertyEvent)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Public property, lead dedup/automation, email/reminders, dashboard and deal follow-up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VISIT-009</x:v>
      </x:c>
      <x:c r="B13" s="47" t="str">
        <x:v>Site Visits</x:v>
      </x:c>
      <x:c r="C13" s="47" t="str">
        <x:v>Site Visits</x:v>
      </x:c>
      <x:c r="D13" s="47" t="str">
        <x:v>Completion updates lead and status history</x:v>
      </x:c>
      <x:c r="E13" s="47" t="str">
        <x:v>Mark a scheduled visit completed for a lead not already beyond the visit stage.</x:v>
      </x:c>
      <x:c r="F13" s="47" t="str">
        <x:v>Completion updates lead and status history</x:v>
      </x:c>
      <x:c r="G13" s="47" t="str">
        <x:v>Integration</x:v>
      </x:c>
      <x:c r="H13" s="53" t="str">
        <x:v>P0</x:v>
      </x:c>
      <x:c r="I13" s="53" t="str">
        <x:v>Critical</x:v>
      </x:c>
      <x:c r="J13" s="47" t="str">
        <x:v>Assigned Agent</x:v>
      </x:c>
      <x:c r="K13" s="47" t="str">
        <x:v>Public eligible property; lead/agent fixtures; future/past visit dates; reminder email capture; two agencies.</x:v>
      </x:c>
      <x:c r="L13" s="47" t="str">
        <x:v>Visitor identity/contact, scheduled_at, status requested/scheduled/completed/cancelled, notes and cancellation_reason.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Public eligible property; lead/agent fixtures; future/past visit dates; reminder email capture; two agencies.
2. Sign in/use role: Assigned Agent.
3. Navigate to /site-visits and public property visit form and capture the initial UI/API/database state.
4. Execute: Mark a scheduled visit completed for a lead not already beyond the visit stage.
5. Inspect the network request/response against: GET/POST /api/site-visits/; GET/PATCH/DELETE /api/site-visits/{id}/; POST /api/public/agencies/{license}/properties/{property_id}/request-site-visit/.
6. Refresh/re-query the feature and related modules: Public property, lead dedup/automation, email/reminders, dashboard and deal follow-up.
7. Verify affected models (SiteVisit, Lead, LeadStatusHistory, LeadInteraction, Notification, PropertyEvent) and all listed side effects.</x:v>
      </x:c>
      <x:c r="O13" s="47" t="str">
        <x:v>Visit completes and lead advances to the implemented status with history.</x:v>
      </x:c>
      <x:c r="P13" s="47" t="str">
        <x:v>SiteVisit status/completed fields update; Lead and LeadStatusHistory update once.</x:v>
      </x:c>
      <x:c r="Q13" s="47" t="str">
        <x:v>PATCH detail returns 200 with completed status.</x:v>
      </x:c>
      <x:c r="R13" s="47" t="str">
        <x:v>Visit and lead views reflect completion immediately.</x:v>
      </x:c>
      <x:c r="S13" s="47" t="str">
        <x:v>Automation/deal follow-up can use the new lead state.</x:v>
      </x:c>
      <x:c r="T13" s="47" t="str">
        <x:v>Public property, lead dedup/automation, email/reminders, dashboard and deal follow-up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VISIT-010</x:v>
      </x:c>
      <x:c r="B14" s="47" t="str">
        <x:v>Site Visits</x:v>
      </x:c>
      <x:c r="C14" s="47" t="str">
        <x:v>Site Visits</x:v>
      </x:c>
      <x:c r="D14" s="47" t="str">
        <x:v>Cancellation requires reason</x:v>
      </x:c>
      <x:c r="E14" s="47" t="str">
        <x:v>PATCH status=cancelled with blank reason, then with a meaningful reason.</x:v>
      </x:c>
      <x:c r="F14" s="47" t="str">
        <x:v>Cancellation requires reason</x:v>
      </x:c>
      <x:c r="G14" s="47" t="str">
        <x:v>Validation</x:v>
      </x:c>
      <x:c r="H14" s="53" t="str">
        <x:v>P0</x:v>
      </x:c>
      <x:c r="I14" s="53" t="str">
        <x:v>Critical</x:v>
      </x:c>
      <x:c r="J14" s="47" t="str">
        <x:v>Agency user</x:v>
      </x:c>
      <x:c r="K14" s="47" t="str">
        <x:v>Public eligible property; lead/agent fixtures; future/past visit dates; reminder email capture; two agencies.</x:v>
      </x:c>
      <x:c r="L14" s="47" t="str">
        <x:v>Visitor identity/contact, scheduled_at, status requested/scheduled/completed/cancelled, notes and cancellation_reason.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Public eligible property; lead/agent fixtures; future/past visit dates; reminder email capture; two agencies.
2. Sign in/use role: Agency user.
3. Navigate to /site-visits and public property visit form and capture the initial UI/API/database state.
4. Execute: PATCH status=cancelled with blank reason, then with a meaningful reason.
5. Inspect the network request/response against: GET/POST /api/site-visits/; GET/PATCH/DELETE /api/site-visits/{id}/; POST /api/public/agencies/{license}/properties/{property_id}/request-site-visit/.
6. Refresh/re-query the feature and related modules: Public property, lead dedup/automation, email/reminders, dashboard and deal follow-up.
7. Verify affected models (SiteVisit, Lead, LeadStatusHistory, LeadInteraction, Notification, PropertyEvent) and all listed side effects.</x:v>
      </x:c>
      <x:c r="O14" s="47" t="str">
        <x:v>Blank request fails; valid request cancels and retains reason.</x:v>
      </x:c>
      <x:c r="P14" s="47" t="str">
        <x:v>First attempt unchanged; second updates SiteVisit.</x:v>
      </x:c>
      <x:c r="Q14" s="47" t="str">
        <x:v>PATCH returns 400 then 200.</x:v>
      </x:c>
      <x:c r="R14" s="47" t="str">
        <x:v>Cancellation modal requires/displays reason.</x:v>
      </x:c>
      <x:c r="S14" s="47" t="str">
        <x:v>Lead is not incorrectly marked completed.</x:v>
      </x:c>
      <x:c r="T14" s="47" t="str">
        <x:v>Public property, lead dedup/automation, email/reminders, dashboard and deal follow-up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VISIT-011</x:v>
      </x:c>
      <x:c r="B15" s="47" t="str">
        <x:v>Site Visits</x:v>
      </x:c>
      <x:c r="C15" s="47" t="str">
        <x:v>Site Visits</x:v>
      </x:c>
      <x:c r="D15" s="47" t="str">
        <x:v>Reminder command is idempotent</x:v>
      </x:c>
      <x:c r="E15" s="47" t="str">
        <x:v>Place a scheduled visit in reminder window and run send_due_reminders twice.</x:v>
      </x:c>
      <x:c r="F15" s="47" t="str">
        <x:v>Reminder command is idempotent</x:v>
      </x:c>
      <x:c r="G15" s="47" t="str">
        <x:v>Background Job</x:v>
      </x:c>
      <x:c r="H15" s="53" t="str">
        <x:v>P0</x:v>
      </x:c>
      <x:c r="I15" s="53" t="str">
        <x:v>Critical</x:v>
      </x:c>
      <x:c r="J15" s="47" t="str">
        <x:v>Scheduler</x:v>
      </x:c>
      <x:c r="K15" s="47" t="str">
        <x:v>Public eligible property; lead/agent fixtures; future/past visit dates; reminder email capture; two agencies.</x:v>
      </x:c>
      <x:c r="L15" s="47" t="str">
        <x:v>Visitor identity/contact, scheduled_at, status requested/scheduled/completed/cancelled, notes and cancellation_reason.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Public eligible property; lead/agent fixtures; future/past visit dates; reminder email capture; two agencies.
2. Sign in/use role: Scheduler.
3. Navigate to /site-visits and public property visit form and capture the initial UI/API/database state.
4. Execute: Place a scheduled visit in reminder window and run send_due_reminders twice.
5. Inspect the network request/response against: GET/POST /api/site-visits/; GET/PATCH/DELETE /api/site-visits/{id}/; POST /api/public/agencies/{license}/properties/{property_id}/request-site-visit/.
6. Refresh/re-query the feature and related modules: Public property, lead dedup/automation, email/reminders, dashboard and deal follow-up.
7. Verify affected models (SiteVisit, Lead, LeadStatusHistory, LeadInteraction, Notification, PropertyEvent) and all listed side effects.</x:v>
      </x:c>
      <x:c r="O15" s="47" t="str">
        <x:v>One reminder is sent and the second run skips it.</x:v>
      </x:c>
      <x:c r="P15" s="47" t="str">
        <x:v>reminder_sent_at set once; no duplicate notification/email record.</x:v>
      </x:c>
      <x:c r="Q15" s="47" t="str">
        <x:v>Management command exits 0 both times with first/second counts.</x:v>
      </x:c>
      <x:c r="R15" s="47" t="str">
        <x:v>Agent/customer receives one reminder.</x:v>
      </x:c>
      <x:c r="S15" s="47" t="str">
        <x:v>Mail error field remains blank on success.</x:v>
      </x:c>
      <x:c r="T15" s="47" t="str">
        <x:v>Public property, lead dedup/automation, email/reminders, dashboard and deal follow-up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VISIT-012</x:v>
      </x:c>
      <x:c r="B16" s="48" t="str">
        <x:v>Site Visits</x:v>
      </x:c>
      <x:c r="C16" s="48" t="str">
        <x:v>Site Visits</x:v>
      </x:c>
      <x:c r="D16" s="48" t="str">
        <x:v>Public request rejects cross-agency property</x:v>
      </x:c>
      <x:c r="E16" s="48" t="str">
        <x:v>Use Agency A license with Agency B property ID.</x:v>
      </x:c>
      <x:c r="F16" s="48" t="str">
        <x:v>Public request rejects cross-agency property</x:v>
      </x:c>
      <x:c r="G16" s="48" t="str">
        <x:v>Security</x:v>
      </x:c>
      <x:c r="H16" s="54" t="str">
        <x:v>P0</x:v>
      </x:c>
      <x:c r="I16" s="54" t="str">
        <x:v>Critical</x:v>
      </x:c>
      <x:c r="J16" s="48" t="str">
        <x:v>Public visitor</x:v>
      </x:c>
      <x:c r="K16" s="48" t="str">
        <x:v>Public eligible property; lead/agent fixtures; future/past visit dates; reminder email capture; two agencies.</x:v>
      </x:c>
      <x:c r="L16" s="48" t="str">
        <x:v>Visitor identity/contact, scheduled_at, status requested/scheduled/completed/cancelled, notes and cancellation_reason.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Public eligible property; lead/agent fixtures; future/past visit dates; reminder email capture; two agencies.
2. Sign in/use role: Public visitor.
3. Navigate to /site-visits and public property visit form and capture the initial UI/API/database state.
4. Execute: Use Agency A license with Agency B property ID.
5. Inspect the network request/response against: GET/POST /api/site-visits/; GET/PATCH/DELETE /api/site-visits/{id}/; POST /api/public/agencies/{license}/properties/{property_id}/request-site-visit/.
6. Refresh/re-query the feature and related modules: Public property, lead dedup/automation, email/reminders, dashboard and deal follow-up.
7. Verify affected models (SiteVisit, Lead, LeadStatusHistory, LeadInteraction, Notification, PropertyEvent) and all listed side effects.</x:v>
      </x:c>
      <x:c r="O16" s="48" t="str">
        <x:v>Request is not created and property existence is not leaked beyond not-found semantics.</x:v>
      </x:c>
      <x:c r="P16" s="48" t="str">
        <x:v>No SiteVisit/Lead/Interest/Event in either tenant.</x:v>
      </x:c>
      <x:c r="Q16" s="48" t="str">
        <x:v>POST returns 404/validation error.</x:v>
      </x:c>
      <x:c r="R16" s="48" t="str">
        <x:v>Safe not-found message; form remains usable.</x:v>
      </x:c>
      <x:c r="S16" s="48" t="str">
        <x:v>No notification/email/automation.</x:v>
      </x:c>
      <x:c r="T16" s="48" t="str">
        <x:v>Public property, lead dedup/automation, email/reminders, dashboard and deal follow-up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104" priority="1">
      <x:formula>H5="P0"</x:formula>
    </x:cfRule>
    <x:cfRule type="expression" dxfId="105" priority="2">
      <x:formula>H5="P1"</x:formula>
    </x:cfRule>
    <x:cfRule type="expression" dxfId="106" priority="3">
      <x:formula>H5="P2"</x:formula>
    </x:cfRule>
    <x:cfRule type="expression" dxfId="107" priority="4">
      <x:formula>H5="P3"</x:formula>
    </x:cfRule>
  </x:conditionalFormatting>
  <x:conditionalFormatting sqref="W5:W16">
    <x:cfRule type="expression" dxfId="108" priority="5">
      <x:formula>W5="Passed"</x:formula>
    </x:cfRule>
    <x:cfRule type="expression" dxfId="109" priority="6">
      <x:formula>W5="Failed"</x:formula>
    </x:cfRule>
    <x:cfRule type="expression" dxfId="110" priority="7">
      <x:formula>W5="Blocked"</x:formula>
    </x:cfRule>
    <x:cfRule type="expression" dxfId="111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ad8766f02d481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Contacts and Property Owners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11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CONT-001</x:v>
      </x:c>
      <x:c r="B5" s="46" t="str">
        <x:v>Contacts and Property Owners</x:v>
      </x:c>
      <x:c r="C5" s="46" t="str">
        <x:v>Contacts and Property Owners</x:v>
      </x:c>
      <x:c r="D5" s="46" t="str">
        <x:v>Complete the primary Contacts and Property Owners workflow</x:v>
      </x:c>
      <x:c r="E5" s="46" t="str">
        <x:v>Create a contact and owner, link owner properties, then import unconverted leads.</x:v>
      </x:c>
      <x:c r="F5" s="46" t="str">
        <x:v>Complete the primary Contacts and Property Owners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Agency A/B; leads with/without contacts; assigned/unassigned agents; owners linked to one or many properties.</x:v>
      </x:c>
      <x:c r="L5" s="46" t="str">
        <x:v>Buyer/seller/tenant/landlord/investor/vendor types, names, email/phone, assigned_to, lead link, owner properties.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Agency A/B; leads with/without contacts; assigned/unassigned agents; owners linked to one or many properties.
2. Sign in/use role: Agency Owner.
3. Navigate to /contacts and /owners and capture the initial UI/API/database state.
4. Execute: Create a contact and owner, link owner properties, then import unconverted leads.
5. Inspect the network request/response against: CRUD /api/operations/contacts/; POST /api/operations/contacts/import-leads/; CRUD /api/operations/owners/.
6. Refresh/re-query the feature and related modules: Leads, properties, deals, leases, documents, audit logs.
7. Verify affected models (Contact, Owner, Lead, Property, AuditLog) and all listed side effects.</x:v>
      </x:c>
      <x:c r="O5" s="46" t="str">
        <x:v>Records are tenant scoped; agents see assigned/relevant contacts and owners of their assigned properties; import creates one contact per eligible lead.</x:v>
      </x:c>
      <x:c r="P5" s="46" t="str">
        <x:v>Contact/Owner and M2M/property links update; AuditLog entries on mutations; no lead deletion.</x:v>
      </x:c>
      <x:c r="Q5" s="46" t="str">
        <x:v>Use the documented routes: CRUD /api/operations/contacts/; POST /api/operations/contacts/import-leads/; CRUD /api/operations/owners/. Successful create operations return 201, reads/updates/actions 200, and deletes 204 where provided; capture exact endpoint-specific response.</x:v>
      </x:c>
      <x:c r="R5" s="46" t="str">
        <x:v>Start at /contacts and /owners. The visible state must match the saved API response after refresh.</x:v>
      </x:c>
      <x:c r="S5" s="46" t="str">
        <x:v>Deal/lease/document selectors, owner property detail and reports change.</x:v>
      </x:c>
      <x:c r="T5" s="46" t="str">
        <x:v>Leads, properties, deals, leases, documents, audit logs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CONT-002</x:v>
      </x:c>
      <x:c r="B6" s="47" t="str">
        <x:v>Contacts and Property Owners</x:v>
      </x:c>
      <x:c r="C6" s="47" t="str">
        <x:v>Contacts and Property Owners</x:v>
      </x:c>
      <x:c r="D6" s="47" t="str">
        <x:v>Reject invalid or missing Contacts and Property Owners inputs</x:v>
      </x:c>
      <x:c r="E6" s="47" t="str">
        <x:v>Reject cross-tenant lead/property/assigned user, invalid contact type, missing required names, duplicate unique relationships where constrained, and agent deletion.</x:v>
      </x:c>
      <x:c r="F6" s="47" t="str">
        <x:v>Reject invalid or missing Contacts and Property Owners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Agency A/B; leads with/without contacts; assigned/unassigned agents; owners linked to one or many properties.</x:v>
      </x:c>
      <x:c r="L6" s="47" t="str">
        <x:v>Buyer/seller/tenant/landlord/investor/vendor types, names, email/phone, assigned_to, lead link, owner properties.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Agency A/B; leads with/without contacts; assigned/unassigned agents; owners linked to one or many properties.
2. Sign in/use role: Agency Owner.
3. Navigate to /contacts and /owners and capture the initial UI/API/database state.
4. Execute: Reject cross-tenant lead/property/assigned user, invalid contact type, missing required names, duplicate unique relationships where constrained, and agent deletion.
5. Inspect the network request/response against: CRUD /api/operations/contacts/; POST /api/operations/contacts/import-leads/; CRUD /api/operations/owners/.
6. Refresh/re-query the feature and related modules: Leads, properties, deals, leases, documents, audit logs.
7. Verify affected models (Contact, Owner, Lead, Property, AuditLog)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Leads, properties, deals, leases, documents, audit logs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CONT-003</x:v>
      </x:c>
      <x:c r="B7" s="47" t="str">
        <x:v>Contacts and Property Owners</x:v>
      </x:c>
      <x:c r="C7" s="47" t="str">
        <x:v>Contacts and Property Owners</x:v>
      </x:c>
      <x:c r="D7" s="47" t="str">
        <x:v>Enforce Contacts and Property Owners role permissions</x:v>
      </x:c>
      <x:c r="E7" s="47" t="str">
        <x:v>Agents are restricted by assigned_to/lead assignment and owner property assignment; only owner/manager deletes operations records.</x:v>
      </x:c>
      <x:c r="F7" s="47" t="str">
        <x:v>Enforce Contacts and Property Owners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Agency A/B; leads with/without contacts; assigned/unassigned agents; owners linked to one or many properties.</x:v>
      </x:c>
      <x:c r="L7" s="47" t="str">
        <x:v>Buyer/seller/tenant/landlord/investor/vendor types, names, email/phone, assigned_to, lead link, owner properties.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Agency A/B; leads with/without contacts; assigned/unassigned agents; owners linked to one or many properties.
2. Sign in/use role: Exercise every listed role plus an unauthenticated caller.
3. Navigate to /contacts and /owners and capture the initial UI/API/database state.
4. Execute: Agents are restricted by assigned_to/lead assignment and owner property assignment; only owner/manager deletes operations records.
5. Inspect the network request/response against: CRUD /api/operations/contacts/; POST /api/operations/contacts/import-leads/; CRUD /api/operations/owners/.
6. Refresh/re-query the feature and related modules: Leads, properties, deals, leases, documents, audit logs.
7. Verify affected models (Contact, Owner, Lead, Property, AuditLog)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Leads, properties, deals, leases, documents, audit logs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CONT-004</x:v>
      </x:c>
      <x:c r="B8" s="47" t="str">
        <x:v>Contacts and Property Owners</x:v>
      </x:c>
      <x:c r="C8" s="47" t="str">
        <x:v>Contacts and Property Owners</x:v>
      </x:c>
      <x:c r="D8" s="47" t="str">
        <x:v>Prevent cross-tenant access in Contacts and Property Owners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Contacts and Property Owners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Agency A/B; leads with/without contacts; assigned/unassigned agents; owners linked to one or many properties.</x:v>
      </x:c>
      <x:c r="L8" s="47" t="str">
        <x:v>Buyer/seller/tenant/landlord/investor/vendor types, names, email/phone, assigned_to, lead link, owner properties.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Agency A/B; leads with/without contacts; assigned/unassigned agents; owners linked to one or many properties.
2. Sign in/use role: Agency A authenticated user and Agency B fixture.
3. Navigate to /contacts and /owners and capture the initial UI/API/database state.
4. Execute: Substitute Agency B object IDs, related IDs, slugs, files and filter parameters into every Agency A list/detail/create/update/delete/action request.
5. Inspect the network request/response against: CRUD /api/operations/contacts/; POST /api/operations/contacts/import-leads/; CRUD /api/operations/owners/.
6. Refresh/re-query the feature and related modules: Leads, properties, deals, leases, documents, audit logs.
7. Verify affected models (Contact, Owner, Lead, Property, AuditLog)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Leads, properties, deals, leases, documents, audit logs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CONT-005</x:v>
      </x:c>
      <x:c r="B9" s="47" t="str">
        <x:v>Contacts and Property Owners</x:v>
      </x:c>
      <x:c r="C9" s="47" t="str">
        <x:v>Contacts and Property Owners</x:v>
      </x:c>
      <x:c r="D9" s="47" t="str">
        <x:v>Verify Contacts and Property Owners list, search and filter scoping</x:v>
      </x:c>
      <x:c r="E9" s="47" t="str">
        <x:v>Search fields and import operate only within current tenant/agent scope.</x:v>
      </x:c>
      <x:c r="F9" s="47" t="str">
        <x:v>Verify Contacts and Property Owners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Agency A/B; leads with/without contacts; assigned/unassigned agents; owners linked to one or many properties.</x:v>
      </x:c>
      <x:c r="L9" s="47" t="str">
        <x:v>Buyer/seller/tenant/landlord/investor/vendor types, names, email/phone, assigned_to, lead link, owner properties.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Agency A/B; leads with/without contacts; assigned/unassigned agents; owners linked to one or many properties.
2. Sign in/use role: Agency Owner.
3. Navigate to /contacts and /owners and capture the initial UI/API/database state.
4. Execute: Search fields and import operate only within current tenant/agent scope.
5. Inspect the network request/response against: CRUD /api/operations/contacts/; POST /api/operations/contacts/import-leads/; CRUD /api/operations/owners/.
6. Refresh/re-query the feature and related modules: Leads, properties, deals, leases, documents, audit logs.
7. Verify affected models (Contact, Owner, Lead, Property, AuditLog)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Leads, properties, deals, leases, documents, audit logs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CONT-006</x:v>
      </x:c>
      <x:c r="B10" s="47" t="str">
        <x:v>Contacts and Property Owners</x:v>
      </x:c>
      <x:c r="C10" s="47" t="str">
        <x:v>Contacts and Property Owners</x:v>
      </x:c>
      <x:c r="D10" s="47" t="str">
        <x:v>Test duplicate submission and idempotency for Contacts and Property Owners</x:v>
      </x:c>
      <x:c r="E10" s="47" t="str">
        <x:v>Double-click/submit identical requests sequentially and concurrently. Current rule: import-leads excludes leads already linked to a Contact, so repeated import returns zero for processed leads.</x:v>
      </x:c>
      <x:c r="F10" s="47" t="str">
        <x:v>Test duplicate submission and idempotency for Contacts and Property Owners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Agency A/B; leads with/without contacts; assigned/unassigned agents; owners linked to one or many properties.</x:v>
      </x:c>
      <x:c r="L10" s="47" t="str">
        <x:v>Buyer/seller/tenant/landlord/investor/vendor types, names, email/phone, assigned_to, lead link, owner properties.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Agency A/B; leads with/without contacts; assigned/unassigned agents; owners linked to one or many properties.
2. Sign in/use role: Agency Owner.
3. Navigate to /contacts and /owners and capture the initial UI/API/database state.
4. Execute: Double-click/submit identical requests sequentially and concurrently. Current rule: import-leads excludes leads already linked to a Contact, so repeated import returns zero for processed leads.
5. Inspect the network request/response against: CRUD /api/operations/contacts/; POST /api/operations/contacts/import-leads/; CRUD /api/operations/owners/.
6. Refresh/re-query the feature and related modules: Leads, properties, deals, leases, documents, audit logs.
7. Verify affected models (Contact, Owner, Lead, Property, AuditLog)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Leads, properties, deals, leases, documents, audit logs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CONT-007</x:v>
      </x:c>
      <x:c r="B11" s="47" t="str">
        <x:v>Contacts and Property Owners</x:v>
      </x:c>
      <x:c r="C11" s="47" t="str">
        <x:v>Contacts and Property Owners</x:v>
      </x:c>
      <x:c r="D11" s="47" t="str">
        <x:v>Verify deletion and dependency behavior for Contacts and Property Owners</x:v>
      </x:c>
      <x:c r="E11" s="47" t="str">
        <x:v>Delete an unreferenced record, a referenced record, a foreign-tenant record, and an already-deleted ID. Current rule: Contact/Owner deletion follows PROTECT/SET_NULL/CASCADE relationships; dependencies such as leases may block deletion. Failed delete must be atomic.</x:v>
      </x:c>
      <x:c r="F11" s="47" t="str">
        <x:v>Verify deletion and dependency behavior for Contacts and Property Owners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Agency A/B; leads with/without contacts; assigned/unassigned agents; owners linked to one or many properties.</x:v>
      </x:c>
      <x:c r="L11" s="47" t="str">
        <x:v>Buyer/seller/tenant/landlord/investor/vendor types, names, email/phone, assigned_to, lead link, owner properties.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Agency A/B; leads with/without contacts; assigned/unassigned agents; owners linked to one or many properties.
2. Sign in/use role: Agency Owner or Agency Manager.
3. Navigate to /contacts and /owners and capture the initial UI/API/database state.
4. Execute: Delete an unreferenced record, a referenced record, a foreign-tenant record, and an already-deleted ID. Current rule: Contact/Owner deletion follows PROTECT/SET_NULL/CASCADE relationships; dependencies such as leases may block deletion. Failed delete must be atomic.
5. Inspect the network request/response against: CRUD /api/operations/contacts/; POST /api/operations/contacts/import-leads/; CRUD /api/operations/owners/.
6. Refresh/re-query the feature and related modules: Leads, properties, deals, leases, documents, audit logs.
7. Verify affected models (Contact, Owner, Lead, Property, AuditLog)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Leads, properties, deals, leases, documents, audit logs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CONT-008</x:v>
      </x:c>
      <x:c r="B12" s="47" t="str">
        <x:v>Contacts and Property Owners</x:v>
      </x:c>
      <x:c r="C12" s="47" t="str">
        <x:v>Contacts and Property Owners</x:v>
      </x:c>
      <x:c r="D12" s="47" t="str">
        <x:v>Recover cleanly from API/network failure during Contacts and Property Owners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Contacts and Property Owners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Agency A/B; leads with/without contacts; assigned/unassigned agents; owners linked to one or many properties.</x:v>
      </x:c>
      <x:c r="L12" s="47" t="str">
        <x:v>Buyer/seller/tenant/landlord/investor/vendor types, names, email/phone, assigned_to, lead link, owner properties.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Agency A/B; leads with/without contacts; assigned/unassigned agents; owners linked to one or many properties.
2. Sign in/use role: Agency Owner.
3. Navigate to /contacts and /owners and capture the initial UI/API/database state.
4. Execute: Simulate timeout, offline browser, 500 response, expired access token and failed refresh while submitting the primary workflow.
5. Inspect the network request/response against: CRUD /api/operations/contacts/; POST /api/operations/contacts/import-leads/; CRUD /api/operations/owners/.
6. Refresh/re-query the feature and related modules: Leads, properties, deals, leases, documents, audit logs.
7. Verify affected models (Contact, Owner, Lead, Property, AuditLog)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Leads, properties, deals, leases, documents, audit logs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CONT-009</x:v>
      </x:c>
      <x:c r="B13" s="47" t="str">
        <x:v>Contacts and Property Owners</x:v>
      </x:c>
      <x:c r="C13" s="47" t="str">
        <x:v>Contacts and Property Owners</x:v>
      </x:c>
      <x:c r="D13" s="47" t="str">
        <x:v>Lead import is idempotent</x:v>
      </x:c>
      <x:c r="E13" s="47" t="str">
        <x:v>Run contacts/import-leads twice for the same unconverted tenant leads.</x:v>
      </x:c>
      <x:c r="F13" s="47" t="str">
        <x:v>Lead import is idempotent</x:v>
      </x:c>
      <x:c r="G13" s="47" t="str">
        <x:v>Idempotency</x:v>
      </x:c>
      <x:c r="H13" s="53" t="str">
        <x:v>P1</x:v>
      </x:c>
      <x:c r="I13" s="53" t="str">
        <x:v>High</x:v>
      </x:c>
      <x:c r="J13" s="47" t="str">
        <x:v>Agency Manager</x:v>
      </x:c>
      <x:c r="K13" s="47" t="str">
        <x:v>Agency A/B; leads with/without contacts; assigned/unassigned agents; owners linked to one or many properties.</x:v>
      </x:c>
      <x:c r="L13" s="47" t="str">
        <x:v>Buyer/seller/tenant/landlord/investor/vendor types, names, email/phone, assigned_to, lead link, owner properties.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Agency A/B; leads with/without contacts; assigned/unassigned agents; owners linked to one or many properties.
2. Sign in/use role: Agency Manager.
3. Navigate to /contacts and /owners and capture the initial UI/API/database state.
4. Execute: Run contacts/import-leads twice for the same unconverted tenant leads.
5. Inspect the network request/response against: CRUD /api/operations/contacts/; POST /api/operations/contacts/import-leads/; CRUD /api/operations/owners/.
6. Refresh/re-query the feature and related modules: Leads, properties, deals, leases, documents, audit logs.
7. Verify affected models (Contact, Owner, Lead, Property, AuditLog) and all listed side effects.</x:v>
      </x:c>
      <x:c r="O13" s="47" t="str">
        <x:v>First run creates contacts; second reports zero new contacts and no duplicates.</x:v>
      </x:c>
      <x:c r="P13" s="47" t="str">
        <x:v>One Contact per Lead; lead contact reverse relation remains unique.</x:v>
      </x:c>
      <x:c r="Q13" s="47" t="str">
        <x:v>POST returns created count then 0.</x:v>
      </x:c>
      <x:c r="R13" s="47" t="str">
        <x:v>Contacts list adds entries once.</x:v>
      </x:c>
      <x:c r="S13" s="47" t="str">
        <x:v>Audit behavior matches per-contact implementation; no notifications expected.</x:v>
      </x:c>
      <x:c r="T13" s="47" t="str">
        <x:v>Leads, properties, deals, leases, documents, audit logs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CONT-010</x:v>
      </x:c>
      <x:c r="B14" s="47" t="str">
        <x:v>Contacts and Property Owners</x:v>
      </x:c>
      <x:c r="C14" s="47" t="str">
        <x:v>Contacts and Property Owners</x:v>
      </x:c>
      <x:c r="D14" s="47" t="str">
        <x:v>Agent sees only assigned contacts</x:v>
      </x:c>
      <x:c r="E14" s="47" t="str">
        <x:v>List/search/detail Contact assigned to Agent A, Agent B, and unassigned unrelated lead.</x:v>
      </x:c>
      <x:c r="F14" s="47" t="str">
        <x:v>Agent sees only assigned contacts</x:v>
      </x:c>
      <x:c r="G14" s="47" t="str">
        <x:v>Permission</x:v>
      </x:c>
      <x:c r="H14" s="53" t="str">
        <x:v>P0</x:v>
      </x:c>
      <x:c r="I14" s="53" t="str">
        <x:v>Critical</x:v>
      </x:c>
      <x:c r="J14" s="47" t="str">
        <x:v>Agent A</x:v>
      </x:c>
      <x:c r="K14" s="47" t="str">
        <x:v>Agency A/B; leads with/without contacts; assigned/unassigned agents; owners linked to one or many properties.</x:v>
      </x:c>
      <x:c r="L14" s="47" t="str">
        <x:v>Buyer/seller/tenant/landlord/investor/vendor types, names, email/phone, assigned_to, lead link, owner properties.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Agency A/B; leads with/without contacts; assigned/unassigned agents; owners linked to one or many properties.
2. Sign in/use role: Agent A.
3. Navigate to /contacts and /owners and capture the initial UI/API/database state.
4. Execute: List/search/detail Contact assigned to Agent A, Agent B, and unassigned unrelated lead.
5. Inspect the network request/response against: CRUD /api/operations/contacts/; POST /api/operations/contacts/import-leads/; CRUD /api/operations/owners/.
6. Refresh/re-query the feature and related modules: Leads, properties, deals, leases, documents, audit logs.
7. Verify affected models (Contact, Owner, Lead, Property, AuditLog) and all listed side effects.</x:v>
      </x:c>
      <x:c r="O14" s="47" t="str">
        <x:v>Agent A receives only records assigned to them or linked to their assigned leads.</x:v>
      </x:c>
      <x:c r="P14" s="47" t="str">
        <x:v>No rows change.</x:v>
      </x:c>
      <x:c r="Q14" s="47" t="str">
        <x:v>List excludes unauthorized; detail returns scoped 404.</x:v>
      </x:c>
      <x:c r="R14" s="47" t="str">
        <x:v>UI count/search never reveals hidden contacts.</x:v>
      </x:c>
      <x:c r="S14" s="47" t="str">
        <x:v>Reports/selectors use the same restriction.</x:v>
      </x:c>
      <x:c r="T14" s="47" t="str">
        <x:v>Leads, properties, deals, leases, documents, audit logs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1" t="str">
        <x:v>CONT-011</x:v>
      </x:c>
      <x:c r="B15" s="48" t="str">
        <x:v>Contacts and Property Owners</x:v>
      </x:c>
      <x:c r="C15" s="48" t="str">
        <x:v>Contacts and Property Owners</x:v>
      </x:c>
      <x:c r="D15" s="48" t="str">
        <x:v>Owner deletion with protected lease dependency</x:v>
      </x:c>
      <x:c r="E15" s="48" t="str">
        <x:v>Attempt to delete an Owner referenced by Lease.owner and inspect configured SET_NULL behavior.</x:v>
      </x:c>
      <x:c r="F15" s="48" t="str">
        <x:v>Owner deletion with protected lease dependency</x:v>
      </x:c>
      <x:c r="G15" s="48" t="str">
        <x:v>Database</x:v>
      </x:c>
      <x:c r="H15" s="54" t="str">
        <x:v>P1</x:v>
      </x:c>
      <x:c r="I15" s="54" t="str">
        <x:v>High</x:v>
      </x:c>
      <x:c r="J15" s="48" t="str">
        <x:v>Agency Manager</x:v>
      </x:c>
      <x:c r="K15" s="48" t="str">
        <x:v>Agency A/B; leads with/without contacts; assigned/unassigned agents; owners linked to one or many properties.</x:v>
      </x:c>
      <x:c r="L15" s="48" t="str">
        <x:v>Buyer/seller/tenant/landlord/investor/vendor types, names, email/phone, assigned_to, lead link, owner properties.</x:v>
      </x:c>
      <x:c r="M15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8" t="str">
        <x:v>1. Prepare: Agency A/B; leads with/without contacts; assigned/unassigned agents; owners linked to one or many properties.
2. Sign in/use role: Agency Manager.
3. Navigate to /contacts and /owners and capture the initial UI/API/database state.
4. Execute: Attempt to delete an Owner referenced by Lease.owner and inspect configured SET_NULL behavior.
5. Inspect the network request/response against: CRUD /api/operations/contacts/; POST /api/operations/contacts/import-leads/; CRUD /api/operations/owners/.
6. Refresh/re-query the feature and related modules: Leads, properties, deals, leases, documents, audit logs.
7. Verify affected models (Contact, Owner, Lead, Property, AuditLog) and all listed side effects.</x:v>
      </x:c>
      <x:c r="O15" s="48" t="str">
        <x:v>Current model uses SET_NULL for Lease.owner, so owner deletes while lease remains with null owner.</x:v>
      </x:c>
      <x:c r="P15" s="48" t="str">
        <x:v>Owner removed; Lease row retained and owner_id null; AuditLog records deletion.</x:v>
      </x:c>
      <x:c r="Q15" s="48" t="str">
        <x:v>DELETE returns 204 if no other blocker.</x:v>
      </x:c>
      <x:c r="R15" s="48" t="str">
        <x:v>Owner disappears; lease remains usable and shows no owner.</x:v>
      </x:c>
      <x:c r="S15" s="48" t="str">
        <x:v>No property/contact tenant ownership changes.</x:v>
      </x:c>
      <x:c r="T15" s="48" t="str">
        <x:v>Leads, properties, deals, leases, documents, audit logs</x:v>
      </x:c>
      <x:c r="U15" s="48" t="str">
        <x:v>Restore mutated fixture state where required; retain evidence (request/response, screenshots, SQL counts and logs).</x:v>
      </x:c>
      <x:c r="V15" s="48" t="str"/>
      <x:c r="W15" s="54" t="str">
        <x:v>Not Run</x:v>
      </x:c>
      <x:c r="X15" s="54" t="str"/>
      <x:c r="Y15" s="54" t="str">
        <x:v>Yes</x:v>
      </x:c>
      <x:c r="Z15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5">
    <x:cfRule type="expression" dxfId="112" priority="1">
      <x:formula>H5="P0"</x:formula>
    </x:cfRule>
    <x:cfRule type="expression" dxfId="113" priority="2">
      <x:formula>H5="P1"</x:formula>
    </x:cfRule>
    <x:cfRule type="expression" dxfId="114" priority="3">
      <x:formula>H5="P2"</x:formula>
    </x:cfRule>
    <x:cfRule type="expression" dxfId="115" priority="4">
      <x:formula>H5="P3"</x:formula>
    </x:cfRule>
  </x:conditionalFormatting>
  <x:conditionalFormatting sqref="W5:W15">
    <x:cfRule type="expression" dxfId="116" priority="5">
      <x:formula>W5="Passed"</x:formula>
    </x:cfRule>
    <x:cfRule type="expression" dxfId="117" priority="6">
      <x:formula>W5="Failed"</x:formula>
    </x:cfRule>
    <x:cfRule type="expression" dxfId="118" priority="7">
      <x:formula>W5="Blocked"</x:formula>
    </x:cfRule>
    <x:cfRule type="expression" dxfId="119" priority="8">
      <x:formula>W5="Skipped"</x:formula>
    </x:cfRule>
  </x:conditionalFormatting>
  <x:dataValidations count="4">
    <x:dataValidation type="list" sqref="H5:H15">
      <x:formula1>"P0,P1,P2,P3"</x:formula1>
    </x:dataValidation>
    <x:dataValidation type="list" sqref="I5:I15">
      <x:formula1>"Critical,High,Medium,Low"</x:formula1>
    </x:dataValidation>
    <x:dataValidation type="list" sqref="W5:W15">
      <x:formula1>"Not Run,Passed,Failed,Blocked,Skipped"</x:formula1>
    </x:dataValidation>
    <x:dataValidation type="list" sqref="Y5:Y15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112452c57d4c82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Deals, Pipelines and Offers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DEAL-001</x:v>
      </x:c>
      <x:c r="B5" s="46" t="str">
        <x:v>Deals, Pipelines and Offers</x:v>
      </x:c>
      <x:c r="C5" s="46" t="str">
        <x:v>Deals, Pipelines and Offers</x:v>
      </x:c>
      <x:c r="D5" s="46" t="str">
        <x:v>Complete the primary Deals, Pipelines and Offers workflow</x:v>
      </x:c>
      <x:c r="E5" s="46" t="str">
        <x:v>Open a deal from a lead/property, submit an offer, counter it, then accept a valid offer.</x:v>
      </x:c>
      <x:c r="F5" s="46" t="str">
        <x:v>Complete the primary Deals, Pipelines and Offers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Agency A/B leads/contacts/properties/agents; default and custom pipeline stages; draft/submitted/countered offers.</x:v>
      </x:c>
      <x:c r="L5" s="46" t="str">
        <x:v>Deal title/stage/value, assigned_agent and related IDs; offer amount/currency/status/terms/expiry; response states accepted/rejected/countered/withdrawn.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Agency A/B leads/contacts/properties/agents; default and custom pipeline stages; draft/submitted/countered offers.
2. Sign in/use role: Agency Owner.
3. Navigate to /deals, /offers, /customization pipeline stages and capture the initial UI/API/database state.
4. Execute: Open a deal from a lead/property, submit an offer, counter it, then accept a valid offer.
5. Inspect the network request/response against: CRUD /api/operations/deals/; CRUD /api/operations/offers/; POST /api/operations/offers/{id}/respond/; CRUD /api/operations/pipeline-stages/.
6. Refresh/re-query the feature and related modules: Leads, contacts, properties, tasks/documents, reports, notifications.
7. Verify affected models (Deal, Offer, PipelineStage, Lead, Contact, Property, Notification, AuditLog) and all listed side effects.</x:v>
      </x:c>
      <x:c r="O5" s="46" t="str">
        <x:v>Deal remains tenant scoped; accepted offer stamps responded_at and sets deal value to offer amount and stage to contract.</x:v>
      </x:c>
      <x:c r="P5" s="46" t="str">
        <x:v>Deal + Offer rows and AuditLog; accepted response updates Offer and Deal atomically enough to avoid inconsistent stage/value.</x:v>
      </x:c>
      <x:c r="Q5" s="46" t="str">
        <x:v>Use the documented routes: CRUD /api/operations/deals/; CRUD /api/operations/offers/; POST /api/operations/offers/{id}/respond/; CRUD /api/operations/pipeline-stages/. Successful create operations return 201, reads/updates/actions 200, and deletes 204 where provided; capture exact endpoint-specific response.</x:v>
      </x:c>
      <x:c r="R5" s="46" t="str">
        <x:v>Start at /deals, /offers, /customization pipeline stages. The visible state must match the saved API response after refresh.</x:v>
      </x:c>
      <x:c r="S5" s="46" t="str">
        <x:v>Assignment/new-offer notifications, reports/dashboard, lead workspace and tasks/documents change.</x:v>
      </x:c>
      <x:c r="T5" s="46" t="str">
        <x:v>Leads, contacts, properties, tasks/documents, reports, notifications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DEAL-002</x:v>
      </x:c>
      <x:c r="B6" s="47" t="str">
        <x:v>Deals, Pipelines and Offers</x:v>
      </x:c>
      <x:c r="C6" s="47" t="str">
        <x:v>Deals, Pipelines and Offers</x:v>
      </x:c>
      <x:c r="D6" s="47" t="str">
        <x:v>Reject invalid or missing Deals, Pipelines and Offers inputs</x:v>
      </x:c>
      <x:c r="E6" s="47" t="str">
        <x:v>Reject cross-tenant relationships, invalid/custom stage not configured, invalid response state, negative/oversized amount, expired offer behavior where enforced, and agent access to others' deals.</x:v>
      </x:c>
      <x:c r="F6" s="47" t="str">
        <x:v>Reject invalid or missing Deals, Pipelines and Offers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Agency A/B leads/contacts/properties/agents; default and custom pipeline stages; draft/submitted/countered offers.</x:v>
      </x:c>
      <x:c r="L6" s="47" t="str">
        <x:v>Deal title/stage/value, assigned_agent and related IDs; offer amount/currency/status/terms/expiry; response states accepted/rejected/countered/withdrawn.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Agency A/B leads/contacts/properties/agents; default and custom pipeline stages; draft/submitted/countered offers.
2. Sign in/use role: Agency Owner.
3. Navigate to /deals, /offers, /customization pipeline stages and capture the initial UI/API/database state.
4. Execute: Reject cross-tenant relationships, invalid/custom stage not configured, invalid response state, negative/oversized amount, expired offer behavior where enforced, and agent access to others' deals.
5. Inspect the network request/response against: CRUD /api/operations/deals/; CRUD /api/operations/offers/; POST /api/operations/offers/{id}/respond/; CRUD /api/operations/pipeline-stages/.
6. Refresh/re-query the feature and related modules: Leads, contacts, properties, tasks/documents, reports, notifications.
7. Verify affected models (Deal, Offer, PipelineStage, Lead, Contact, Property, Notification, AuditLog)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Leads, contacts, properties, tasks/documents, reports, notifications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DEAL-003</x:v>
      </x:c>
      <x:c r="B7" s="47" t="str">
        <x:v>Deals, Pipelines and Offers</x:v>
      </x:c>
      <x:c r="C7" s="47" t="str">
        <x:v>Deals, Pipelines and Offers</x:v>
      </x:c>
      <x:c r="D7" s="47" t="str">
        <x:v>Enforce Deals, Pipelines and Offers role permissions</x:v>
      </x:c>
      <x:c r="E7" s="47" t="str">
        <x:v>Agent sees deals assigned directly or through assigned lead and offers on their deals; only owner/manager deletes operations records.</x:v>
      </x:c>
      <x:c r="F7" s="47" t="str">
        <x:v>Enforce Deals, Pipelines and Offers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Agency A/B leads/contacts/properties/agents; default and custom pipeline stages; draft/submitted/countered offers.</x:v>
      </x:c>
      <x:c r="L7" s="47" t="str">
        <x:v>Deal title/stage/value, assigned_agent and related IDs; offer amount/currency/status/terms/expiry; response states accepted/rejected/countered/withdrawn.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Agency A/B leads/contacts/properties/agents; default and custom pipeline stages; draft/submitted/countered offers.
2. Sign in/use role: Exercise every listed role plus an unauthenticated caller.
3. Navigate to /deals, /offers, /customization pipeline stages and capture the initial UI/API/database state.
4. Execute: Agent sees deals assigned directly or through assigned lead and offers on their deals; only owner/manager deletes operations records.
5. Inspect the network request/response against: CRUD /api/operations/deals/; CRUD /api/operations/offers/; POST /api/operations/offers/{id}/respond/; CRUD /api/operations/pipeline-stages/.
6. Refresh/re-query the feature and related modules: Leads, contacts, properties, tasks/documents, reports, notifications.
7. Verify affected models (Deal, Offer, PipelineStage, Lead, Contact, Property, Notification, AuditLog)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Leads, contacts, properties, tasks/documents, reports, notifications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DEAL-004</x:v>
      </x:c>
      <x:c r="B8" s="47" t="str">
        <x:v>Deals, Pipelines and Offers</x:v>
      </x:c>
      <x:c r="C8" s="47" t="str">
        <x:v>Deals, Pipelines and Offers</x:v>
      </x:c>
      <x:c r="D8" s="47" t="str">
        <x:v>Prevent cross-tenant access in Deals, Pipelines and Offers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Deals, Pipelines and Offers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Agency A/B leads/contacts/properties/agents; default and custom pipeline stages; draft/submitted/countered offers.</x:v>
      </x:c>
      <x:c r="L8" s="47" t="str">
        <x:v>Deal title/stage/value, assigned_agent and related IDs; offer amount/currency/status/terms/expiry; response states accepted/rejected/countered/withdrawn.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Agency A/B leads/contacts/properties/agents; default and custom pipeline stages; draft/submitted/countered offers.
2. Sign in/use role: Agency A authenticated user and Agency B fixture.
3. Navigate to /deals, /offers, /customization pipeline stages and capture the initial UI/API/database state.
4. Execute: Substitute Agency B object IDs, related IDs, slugs, files and filter parameters into every Agency A list/detail/create/update/delete/action request.
5. Inspect the network request/response against: CRUD /api/operations/deals/; CRUD /api/operations/offers/; POST /api/operations/offers/{id}/respond/; CRUD /api/operations/pipeline-stages/.
6. Refresh/re-query the feature and related modules: Leads, contacts, properties, tasks/documents, reports, notifications.
7. Verify affected models (Deal, Offer, PipelineStage, Lead, Contact, Property, Notification, AuditLog)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Leads, contacts, properties, tasks/documents, reports, notifications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DEAL-005</x:v>
      </x:c>
      <x:c r="B9" s="47" t="str">
        <x:v>Deals, Pipelines and Offers</x:v>
      </x:c>
      <x:c r="C9" s="47" t="str">
        <x:v>Deals, Pipelines and Offers</x:v>
      </x:c>
      <x:c r="D9" s="47" t="str">
        <x:v>Verify Deals, Pipelines and Offers list, search and filter scoping</x:v>
      </x:c>
      <x:c r="E9" s="47" t="str">
        <x:v>Stage and deal filters/search preserve tenant/agent scope.</x:v>
      </x:c>
      <x:c r="F9" s="47" t="str">
        <x:v>Verify Deals, Pipelines and Offers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Agency A/B leads/contacts/properties/agents; default and custom pipeline stages; draft/submitted/countered offers.</x:v>
      </x:c>
      <x:c r="L9" s="47" t="str">
        <x:v>Deal title/stage/value, assigned_agent and related IDs; offer amount/currency/status/terms/expiry; response states accepted/rejected/countered/withdrawn.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Agency A/B leads/contacts/properties/agents; default and custom pipeline stages; draft/submitted/countered offers.
2. Sign in/use role: Agency Owner.
3. Navigate to /deals, /offers, /customization pipeline stages and capture the initial UI/API/database state.
4. Execute: Stage and deal filters/search preserve tenant/agent scope.
5. Inspect the network request/response against: CRUD /api/operations/deals/; CRUD /api/operations/offers/; POST /api/operations/offers/{id}/respond/; CRUD /api/operations/pipeline-stages/.
6. Refresh/re-query the feature and related modules: Leads, contacts, properties, tasks/documents, reports, notifications.
7. Verify affected models (Deal, Offer, PipelineStage, Lead, Contact, Property, Notification, AuditLog)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Leads, contacts, properties, tasks/documents, reports, notifications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DEAL-006</x:v>
      </x:c>
      <x:c r="B10" s="47" t="str">
        <x:v>Deals, Pipelines and Offers</x:v>
      </x:c>
      <x:c r="C10" s="47" t="str">
        <x:v>Deals, Pipelines and Offers</x:v>
      </x:c>
      <x:c r="D10" s="47" t="str">
        <x:v>Test duplicate submission and idempotency for Deals, Pipelines and Offers</x:v>
      </x:c>
      <x:c r="E10" s="47" t="str">
        <x:v>Double-click/submit identical requests sequentially and concurrently. Current rule: respond endpoint has no idempotency key; repeated accepted response should be observed but must not create duplicate offer/deal rows.</x:v>
      </x:c>
      <x:c r="F10" s="47" t="str">
        <x:v>Test duplicate submission and idempotency for Deals, Pipelines and Offers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Agency A/B leads/contacts/properties/agents; default and custom pipeline stages; draft/submitted/countered offers.</x:v>
      </x:c>
      <x:c r="L10" s="47" t="str">
        <x:v>Deal title/stage/value, assigned_agent and related IDs; offer amount/currency/status/terms/expiry; response states accepted/rejected/countered/withdrawn.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Agency A/B leads/contacts/properties/agents; default and custom pipeline stages; draft/submitted/countered offers.
2. Sign in/use role: Agency Owner.
3. Navigate to /deals, /offers, /customization pipeline stages and capture the initial UI/API/database state.
4. Execute: Double-click/submit identical requests sequentially and concurrently. Current rule: respond endpoint has no idempotency key; repeated accepted response should be observed but must not create duplicate offer/deal rows.
5. Inspect the network request/response against: CRUD /api/operations/deals/; CRUD /api/operations/offers/; POST /api/operations/offers/{id}/respond/; CRUD /api/operations/pipeline-stages/.
6. Refresh/re-query the feature and related modules: Leads, contacts, properties, tasks/documents, reports, notifications.
7. Verify affected models (Deal, Offer, PipelineStage, Lead, Contact, Property, Notification, AuditLog)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Leads, contacts, properties, tasks/documents, reports, notifications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DEAL-007</x:v>
      </x:c>
      <x:c r="B11" s="47" t="str">
        <x:v>Deals, Pipelines and Offers</x:v>
      </x:c>
      <x:c r="C11" s="47" t="str">
        <x:v>Deals, Pipelines and Offers</x:v>
      </x:c>
      <x:c r="D11" s="47" t="str">
        <x:v>Verify deletion and dependency behavior for Deals, Pipelines and Offers</x:v>
      </x:c>
      <x:c r="E11" s="47" t="str">
        <x:v>Delete an unreferenced record, a referenced record, a foreign-tenant record, and an already-deleted ID. Current rule: Deal deletion cascades offers; protected/linked documents/tasks follow their on_delete behavior. Offer repeated delete returns 404.</x:v>
      </x:c>
      <x:c r="F11" s="47" t="str">
        <x:v>Verify deletion and dependency behavior for Deals, Pipelines and Offers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Agency A/B leads/contacts/properties/agents; default and custom pipeline stages; draft/submitted/countered offers.</x:v>
      </x:c>
      <x:c r="L11" s="47" t="str">
        <x:v>Deal title/stage/value, assigned_agent and related IDs; offer amount/currency/status/terms/expiry; response states accepted/rejected/countered/withdrawn.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Agency A/B leads/contacts/properties/agents; default and custom pipeline stages; draft/submitted/countered offers.
2. Sign in/use role: Agency Owner or Agency Manager.
3. Navigate to /deals, /offers, /customization pipeline stages and capture the initial UI/API/database state.
4. Execute: Delete an unreferenced record, a referenced record, a foreign-tenant record, and an already-deleted ID. Current rule: Deal deletion cascades offers; protected/linked documents/tasks follow their on_delete behavior. Offer repeated delete returns 404.
5. Inspect the network request/response against: CRUD /api/operations/deals/; CRUD /api/operations/offers/; POST /api/operations/offers/{id}/respond/; CRUD /api/operations/pipeline-stages/.
6. Refresh/re-query the feature and related modules: Leads, contacts, properties, tasks/documents, reports, notifications.
7. Verify affected models (Deal, Offer, PipelineStage, Lead, Contact, Property, Notification, AuditLog)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Leads, contacts, properties, tasks/documents, reports, notifications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DEAL-008</x:v>
      </x:c>
      <x:c r="B12" s="47" t="str">
        <x:v>Deals, Pipelines and Offers</x:v>
      </x:c>
      <x:c r="C12" s="47" t="str">
        <x:v>Deals, Pipelines and Offers</x:v>
      </x:c>
      <x:c r="D12" s="47" t="str">
        <x:v>Recover cleanly from API/network failure during Deals, Pipelines and Offers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Deals, Pipelines and Offers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Agency A/B leads/contacts/properties/agents; default and custom pipeline stages; draft/submitted/countered offers.</x:v>
      </x:c>
      <x:c r="L12" s="47" t="str">
        <x:v>Deal title/stage/value, assigned_agent and related IDs; offer amount/currency/status/terms/expiry; response states accepted/rejected/countered/withdrawn.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Agency A/B leads/contacts/properties/agents; default and custom pipeline stages; draft/submitted/countered offers.
2. Sign in/use role: Agency Owner.
3. Navigate to /deals, /offers, /customization pipeline stages and capture the initial UI/API/database state.
4. Execute: Simulate timeout, offline browser, 500 response, expired access token and failed refresh while submitting the primary workflow.
5. Inspect the network request/response against: CRUD /api/operations/deals/; CRUD /api/operations/offers/; POST /api/operations/offers/{id}/respond/; CRUD /api/operations/pipeline-stages/.
6. Refresh/re-query the feature and related modules: Leads, contacts, properties, tasks/documents, reports, notifications.
7. Verify affected models (Deal, Offer, PipelineStage, Lead, Contact, Property, Notification, AuditLog)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Leads, contacts, properties, tasks/documents, reports, notifications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DEAL-009</x:v>
      </x:c>
      <x:c r="B13" s="47" t="str">
        <x:v>Deals, Pipelines and Offers</x:v>
      </x:c>
      <x:c r="C13" s="47" t="str">
        <x:v>Deals, Pipelines and Offers</x:v>
      </x:c>
      <x:c r="D13" s="47" t="str">
        <x:v>Accepted offer updates deal value and contract stage</x:v>
      </x:c>
      <x:c r="E13" s="47" t="str">
        <x:v>POST respond status=accepted for a submitted offer.</x:v>
      </x:c>
      <x:c r="F13" s="47" t="str">
        <x:v>Accepted offer updates deal value and contract stage</x:v>
      </x:c>
      <x:c r="G13" s="47" t="str">
        <x:v>State Transition</x:v>
      </x:c>
      <x:c r="H13" s="53" t="str">
        <x:v>P0</x:v>
      </x:c>
      <x:c r="I13" s="53" t="str">
        <x:v>Critical</x:v>
      </x:c>
      <x:c r="J13" s="47" t="str">
        <x:v>Assigned Agent/Manager</x:v>
      </x:c>
      <x:c r="K13" s="47" t="str">
        <x:v>Agency A/B leads/contacts/properties/agents; default and custom pipeline stages; draft/submitted/countered offers.</x:v>
      </x:c>
      <x:c r="L13" s="47" t="str">
        <x:v>Deal title/stage/value, assigned_agent and related IDs; offer amount/currency/status/terms/expiry; response states accepted/rejected/countered/withdrawn.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Agency A/B leads/contacts/properties/agents; default and custom pipeline stages; draft/submitted/countered offers.
2. Sign in/use role: Assigned Agent/Manager.
3. Navigate to /deals, /offers, /customization pipeline stages and capture the initial UI/API/database state.
4. Execute: POST respond status=accepted for a submitted offer.
5. Inspect the network request/response against: CRUD /api/operations/deals/; CRUD /api/operations/offers/; POST /api/operations/offers/{id}/respond/; CRUD /api/operations/pipeline-stages/.
6. Refresh/re-query the feature and related modules: Leads, contacts, properties, tasks/documents, reports, notifications.
7. Verify affected models (Deal, Offer, PipelineStage, Lead, Contact, Property, Notification, AuditLog) and all listed side effects.</x:v>
      </x:c>
      <x:c r="O13" s="47" t="str">
        <x:v>Offer becomes accepted with responded_at; Deal.value equals Offer.amount and stage becomes contract.</x:v>
      </x:c>
      <x:c r="P13" s="47" t="str">
        <x:v>One Offer update, one Deal update, audit entry; no new offer.</x:v>
      </x:c>
      <x:c r="Q13" s="47" t="str">
        <x:v>POST /api/operations/offers/{id}/respond/ returns 200.</x:v>
      </x:c>
      <x:c r="R13" s="47" t="str">
        <x:v>Deal pipeline and offer badge update together.</x:v>
      </x:c>
      <x:c r="S13" s="47" t="str">
        <x:v>Reports reflect contract-stage value.</x:v>
      </x:c>
      <x:c r="T13" s="47" t="str">
        <x:v>Leads, contacts, properties, tasks/documents, reports, notifications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DEAL-010</x:v>
      </x:c>
      <x:c r="B14" s="47" t="str">
        <x:v>Deals, Pipelines and Offers</x:v>
      </x:c>
      <x:c r="C14" s="47" t="str">
        <x:v>Deals, Pipelines and Offers</x:v>
      </x:c>
      <x:c r="D14" s="47" t="str">
        <x:v>Invalid offer response state is rejected</x:v>
      </x:c>
      <x:c r="E14" s="47" t="str">
        <x:v>Respond with draft/submitted/expired/arbitrary status.</x:v>
      </x:c>
      <x:c r="F14" s="47" t="str">
        <x:v>Invalid offer response state is rejected</x:v>
      </x:c>
      <x:c r="G14" s="47" t="str">
        <x:v>Validation</x:v>
      </x:c>
      <x:c r="H14" s="53" t="str">
        <x:v>P0</x:v>
      </x:c>
      <x:c r="I14" s="53" t="str">
        <x:v>Critical</x:v>
      </x:c>
      <x:c r="J14" s="47" t="str">
        <x:v>Agency user</x:v>
      </x:c>
      <x:c r="K14" s="47" t="str">
        <x:v>Agency A/B leads/contacts/properties/agents; default and custom pipeline stages; draft/submitted/countered offers.</x:v>
      </x:c>
      <x:c r="L14" s="47" t="str">
        <x:v>Deal title/stage/value, assigned_agent and related IDs; offer amount/currency/status/terms/expiry; response states accepted/rejected/countered/withdrawn.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Agency A/B leads/contacts/properties/agents; default and custom pipeline stages; draft/submitted/countered offers.
2. Sign in/use role: Agency user.
3. Navigate to /deals, /offers, /customization pipeline stages and capture the initial UI/API/database state.
4. Execute: Respond with draft/submitted/expired/arbitrary status.
5. Inspect the network request/response against: CRUD /api/operations/deals/; CRUD /api/operations/offers/; POST /api/operations/offers/{id}/respond/; CRUD /api/operations/pipeline-stages/.
6. Refresh/re-query the feature and related modules: Leads, contacts, properties, tasks/documents, reports, notifications.
7. Verify affected models (Deal, Offer, PipelineStage, Lead, Contact, Property, Notification, AuditLog) and all listed side effects.</x:v>
      </x:c>
      <x:c r="O14" s="47" t="str">
        <x:v>Only accepted, rejected, countered or withdrawn are accepted by respond action.</x:v>
      </x:c>
      <x:c r="P14" s="47" t="str">
        <x:v>Offer/deal/audit remain unchanged.</x:v>
      </x:c>
      <x:c r="Q14" s="47" t="str">
        <x:v>POST respond returns 400 with explicit allowed choices.</x:v>
      </x:c>
      <x:c r="R14" s="47" t="str">
        <x:v>Modal keeps the offer state and displays error.</x:v>
      </x:c>
      <x:c r="S14" s="47" t="str">
        <x:v>No notification/report change.</x:v>
      </x:c>
      <x:c r="T14" s="47" t="str">
        <x:v>Leads, contacts, properties, tasks/documents, reports, notifications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DEAL-011</x:v>
      </x:c>
      <x:c r="B15" s="47" t="str">
        <x:v>Deals, Pipelines and Offers</x:v>
      </x:c>
      <x:c r="C15" s="47" t="str">
        <x:v>Deals, Pipelines and Offers</x:v>
      </x:c>
      <x:c r="D15" s="47" t="str">
        <x:v>Custom pipeline stage is accepted only for tenant</x:v>
      </x:c>
      <x:c r="E15" s="47" t="str">
        <x:v>Create custom stage for Agency A, use it on Deal A, then try its identifier/value on Agency B.</x:v>
      </x:c>
      <x:c r="F15" s="47" t="str">
        <x:v>Custom pipeline stage is accepted only for tenant</x:v>
      </x:c>
      <x:c r="G15" s="47" t="str">
        <x:v>Integration</x:v>
      </x:c>
      <x:c r="H15" s="53" t="str">
        <x:v>P1</x:v>
      </x:c>
      <x:c r="I15" s="53" t="str">
        <x:v>High</x:v>
      </x:c>
      <x:c r="J15" s="47" t="str">
        <x:v>Agency Manager</x:v>
      </x:c>
      <x:c r="K15" s="47" t="str">
        <x:v>Agency A/B leads/contacts/properties/agents; default and custom pipeline stages; draft/submitted/countered offers.</x:v>
      </x:c>
      <x:c r="L15" s="47" t="str">
        <x:v>Deal title/stage/value, assigned_agent and related IDs; offer amount/currency/status/terms/expiry; response states accepted/rejected/countered/withdrawn.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Agency A/B leads/contacts/properties/agents; default and custom pipeline stages; draft/submitted/countered offers.
2. Sign in/use role: Agency Manager.
3. Navigate to /deals, /offers, /customization pipeline stages and capture the initial UI/API/database state.
4. Execute: Create custom stage for Agency A, use it on Deal A, then try its identifier/value on Agency B.
5. Inspect the network request/response against: CRUD /api/operations/deals/; CRUD /api/operations/offers/; POST /api/operations/offers/{id}/respond/; CRUD /api/operations/pipeline-stages/.
6. Refresh/re-query the feature and related modules: Leads, contacts, properties, tasks/documents, reports, notifications.
7. Verify affected models (Deal, Offer, PipelineStage, Lead, Contact, Property, Notification, AuditLog) and all listed side effects.</x:v>
      </x:c>
      <x:c r="O15" s="47" t="str">
        <x:v>A accepts its configured stage; B cannot use A's custom definition.</x:v>
      </x:c>
      <x:c r="P15" s="47" t="str">
        <x:v>Deal A stage updates; Deal B unchanged; stage records remain tenant scoped.</x:v>
      </x:c>
      <x:c r="Q15" s="47" t="str">
        <x:v>A request 200; cross-tenant request 400/404.</x:v>
      </x:c>
      <x:c r="R15" s="47" t="str">
        <x:v>Each pipeline shows only its agency stages.</x:v>
      </x:c>
      <x:c r="S15" s="47" t="str">
        <x:v>Reports group stages without tenant leakage.</x:v>
      </x:c>
      <x:c r="T15" s="47" t="str">
        <x:v>Leads, contacts, properties, tasks/documents, reports, notifications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DEAL-012</x:v>
      </x:c>
      <x:c r="B16" s="48" t="str">
        <x:v>Deals, Pipelines and Offers</x:v>
      </x:c>
      <x:c r="C16" s="48" t="str">
        <x:v>Deals, Pipelines and Offers</x:v>
      </x:c>
      <x:c r="D16" s="48" t="str">
        <x:v>Concurrent offer responses do not leave inconsistent deal</x:v>
      </x:c>
      <x:c r="E16" s="48" t="str">
        <x:v>Respond accepted and rejected/countered to the same offer concurrently.</x:v>
      </x:c>
      <x:c r="F16" s="48" t="str">
        <x:v>Concurrent offer responses do not leave inconsistent deal</x:v>
      </x:c>
      <x:c r="G16" s="48" t="str">
        <x:v>Concurrency</x:v>
      </x:c>
      <x:c r="H16" s="54" t="str">
        <x:v>P0</x:v>
      </x:c>
      <x:c r="I16" s="54" t="str">
        <x:v>Critical</x:v>
      </x:c>
      <x:c r="J16" s="48" t="str">
        <x:v>Two agency users</x:v>
      </x:c>
      <x:c r="K16" s="48" t="str">
        <x:v>Agency A/B leads/contacts/properties/agents; default and custom pipeline stages; draft/submitted/countered offers.</x:v>
      </x:c>
      <x:c r="L16" s="48" t="str">
        <x:v>Deal title/stage/value, assigned_agent and related IDs; offer amount/currency/status/terms/expiry; response states accepted/rejected/countered/withdrawn.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Agency A/B leads/contacts/properties/agents; default and custom pipeline stages; draft/submitted/countered offers.
2. Sign in/use role: Two agency users.
3. Navigate to /deals, /offers, /customization pipeline stages and capture the initial UI/API/database state.
4. Execute: Respond accepted and rejected/countered to the same offer concurrently.
5. Inspect the network request/response against: CRUD /api/operations/deals/; CRUD /api/operations/offers/; POST /api/operations/offers/{id}/respond/; CRUD /api/operations/pipeline-stages/.
6. Refresh/re-query the feature and related modules: Leads, contacts, properties, tasks/documents, reports, notifications.
7. Verify affected models (Deal, Offer, PipelineStage, Lead, Contact, Property, Notification, AuditLog) and all listed side effects.</x:v>
      </x:c>
      <x:c r="O16" s="48" t="str">
        <x:v>Current last-write behavior is captured; invariant requires Offer status and Deal stage/value to remain logically consistent. Optimistic locking is not implemented and is a risk.</x:v>
      </x:c>
      <x:c r="P16" s="48" t="str">
        <x:v>Inspect final Offer/Deal/Audit rows for split-brain outcome.</x:v>
      </x:c>
      <x:c r="Q16" s="48" t="str">
        <x:v>Both responses may return success under current code; any inconsistent final state is a defect.</x:v>
      </x:c>
      <x:c r="R16" s="48" t="str">
        <x:v>UI refresh shows server final state and warns on conflict if implemented.</x:v>
      </x:c>
      <x:c r="S16" s="48" t="str">
        <x:v>Reports/notifications must match final accepted state only.</x:v>
      </x:c>
      <x:c r="T16" s="48" t="str">
        <x:v>Leads, contacts, properties, tasks/documents, reports, notifications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120" priority="1">
      <x:formula>H5="P0"</x:formula>
    </x:cfRule>
    <x:cfRule type="expression" dxfId="121" priority="2">
      <x:formula>H5="P1"</x:formula>
    </x:cfRule>
    <x:cfRule type="expression" dxfId="122" priority="3">
      <x:formula>H5="P2"</x:formula>
    </x:cfRule>
    <x:cfRule type="expression" dxfId="123" priority="4">
      <x:formula>H5="P3"</x:formula>
    </x:cfRule>
  </x:conditionalFormatting>
  <x:conditionalFormatting sqref="W5:W16">
    <x:cfRule type="expression" dxfId="124" priority="5">
      <x:formula>W5="Passed"</x:formula>
    </x:cfRule>
    <x:cfRule type="expression" dxfId="125" priority="6">
      <x:formula>W5="Failed"</x:formula>
    </x:cfRule>
    <x:cfRule type="expression" dxfId="126" priority="7">
      <x:formula>W5="Blocked"</x:formula>
    </x:cfRule>
    <x:cfRule type="expression" dxfId="127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4bc25efc934d7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Leases and Operational Documents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LEASE-001</x:v>
      </x:c>
      <x:c r="B5" s="46" t="str">
        <x:v>Leases and Operational Documents</x:v>
      </x:c>
      <x:c r="C5" s="46" t="str">
        <x:v>Leases and Operational Documents</x:v>
      </x:c>
      <x:c r="D5" s="46" t="str">
        <x:v>Complete the primary Leases and Operational Documents workflow</x:v>
      </x:c>
      <x:c r="E5" s="46" t="str">
        <x:v>Create a lease, activate it, attach related documents, then terminate/renew according to stored status choices.</x:v>
      </x:c>
      <x:c r="F5" s="46" t="str">
        <x:v>Complete the primary Leases and Operational Documents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Rental property; tenant Contact; optional Owner; assigned agents; files; date/status fixtures; no property transaction payment setup.</x:v>
      </x:c>
      <x:c r="L5" s="46" t="str">
        <x:v>Lease draft/active/expired/terminated/renewed, monthly rent, deposit, NPR, start/end dates; document metadata/file and relationship IDs.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Rental property; tenant Contact; optional Owner; assigned agents; files; date/status fixtures; no property transaction payment setup.
2. Sign in/use role: Agency Owner.
3. Navigate to /leases and /documents and capture the initial UI/API/database state.
4. Execute: Create a lease, activate it, attach related documents, then terminate/renew according to stored status choices.
5. Inspect the network request/response against: CRUD /api/operations/leases/; CRUD /api/operations/documents/; POST/GET /api/leads/{id}/documents/.
6. Refresh/re-query the feature and related modules: Properties, contacts/owners, deals/leads, file storage, tasks/reports.
7. Verify affected models (Lease, Document, LeadDocument, Property, Contact, Owner, Deal, AuditLog) and all listed side effects.</x:v>
      </x:c>
      <x:c r="O5" s="46" t="str">
        <x:v>Lease and documents remain tenant-scoped and agent-restricted; rent values are records only and no payment transaction is initiated.</x:v>
      </x:c>
      <x:c r="P5" s="46" t="str">
        <x:v>Lease/Document/LeadDocument/AuditLog rows; related Property/Contact remain unchanged; file stored for accepted upload.</x:v>
      </x:c>
      <x:c r="Q5" s="46" t="str">
        <x:v>Use the documented routes: CRUD /api/operations/leases/; CRUD /api/operations/documents/; POST/GET /api/leads/{id}/documents/. Successful create operations return 201, reads/updates/actions 200, and deletes 204 where provided; capture exact endpoint-specific response.</x:v>
      </x:c>
      <x:c r="R5" s="46" t="str">
        <x:v>Start at /leases and /documents. The visible state must match the saved API response after refresh.</x:v>
      </x:c>
      <x:c r="S5" s="46" t="str">
        <x:v>Lease reports/calendar/tasks may change; no bank/cash/rent payment side effect exists.</x:v>
      </x:c>
      <x:c r="T5" s="46" t="str">
        <x:v>Properties, contacts/owners, deals/leads, file storage, tasks/reports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LEASE-002</x:v>
      </x:c>
      <x:c r="B6" s="47" t="str">
        <x:v>Leases and Operational Documents</x:v>
      </x:c>
      <x:c r="C6" s="47" t="str">
        <x:v>Leases and Operational Documents</x:v>
      </x:c>
      <x:c r="D6" s="47" t="str">
        <x:v>Reject invalid or missing Leases and Operational Documents inputs</x:v>
      </x:c>
      <x:c r="E6" s="47" t="str">
        <x:v>Reject cross-tenant property/contact/owner/deal/lead, invalid dates/status/amount, unsafe file, missing required relationship/title, and agent deletion.</x:v>
      </x:c>
      <x:c r="F6" s="47" t="str">
        <x:v>Reject invalid or missing Leases and Operational Documents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Rental property; tenant Contact; optional Owner; assigned agents; files; date/status fixtures; no property transaction payment setup.</x:v>
      </x:c>
      <x:c r="L6" s="47" t="str">
        <x:v>Lease draft/active/expired/terminated/renewed, monthly rent, deposit, NPR, start/end dates; document metadata/file and relationship IDs.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Rental property; tenant Contact; optional Owner; assigned agents; files; date/status fixtures; no property transaction payment setup.
2. Sign in/use role: Agency Owner.
3. Navigate to /leases and /documents and capture the initial UI/API/database state.
4. Execute: Reject cross-tenant property/contact/owner/deal/lead, invalid dates/status/amount, unsafe file, missing required relationship/title, and agent deletion.
5. Inspect the network request/response against: CRUD /api/operations/leases/; CRUD /api/operations/documents/; POST/GET /api/leads/{id}/documents/.
6. Refresh/re-query the feature and related modules: Properties, contacts/owners, deals/leads, file storage, tasks/reports.
7. Verify affected models (Lease, Document, LeadDocument, Property, Contact, Owner, Deal, AuditLog)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Properties, contacts/owners, deals/leads, file storage, tasks/reports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LEASE-003</x:v>
      </x:c>
      <x:c r="B7" s="47" t="str">
        <x:v>Leases and Operational Documents</x:v>
      </x:c>
      <x:c r="C7" s="47" t="str">
        <x:v>Leases and Operational Documents</x:v>
      </x:c>
      <x:c r="D7" s="47" t="str">
        <x:v>Enforce Leases and Operational Documents role permissions</x:v>
      </x:c>
      <x:c r="E7" s="47" t="str">
        <x:v>Agents see assigned leases and documents they uploaded or that relate to assigned lead/deal/property; owner/manager deletion only.</x:v>
      </x:c>
      <x:c r="F7" s="47" t="str">
        <x:v>Enforce Leases and Operational Documents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Rental property; tenant Contact; optional Owner; assigned agents; files; date/status fixtures; no property transaction payment setup.</x:v>
      </x:c>
      <x:c r="L7" s="47" t="str">
        <x:v>Lease draft/active/expired/terminated/renewed, monthly rent, deposit, NPR, start/end dates; document metadata/file and relationship IDs.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Rental property; tenant Contact; optional Owner; assigned agents; files; date/status fixtures; no property transaction payment setup.
2. Sign in/use role: Exercise every listed role plus an unauthenticated caller.
3. Navigate to /leases and /documents and capture the initial UI/API/database state.
4. Execute: Agents see assigned leases and documents they uploaded or that relate to assigned lead/deal/property; owner/manager deletion only.
5. Inspect the network request/response against: CRUD /api/operations/leases/; CRUD /api/operations/documents/; POST/GET /api/leads/{id}/documents/.
6. Refresh/re-query the feature and related modules: Properties, contacts/owners, deals/leads, file storage, tasks/reports.
7. Verify affected models (Lease, Document, LeadDocument, Property, Contact, Owner, Deal, AuditLog)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Properties, contacts/owners, deals/leads, file storage, tasks/reports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LEASE-004</x:v>
      </x:c>
      <x:c r="B8" s="47" t="str">
        <x:v>Leases and Operational Documents</x:v>
      </x:c>
      <x:c r="C8" s="47" t="str">
        <x:v>Leases and Operational Documents</x:v>
      </x:c>
      <x:c r="D8" s="47" t="str">
        <x:v>Prevent cross-tenant access in Leases and Operational Documents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Leases and Operational Documents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Rental property; tenant Contact; optional Owner; assigned agents; files; date/status fixtures; no property transaction payment setup.</x:v>
      </x:c>
      <x:c r="L8" s="47" t="str">
        <x:v>Lease draft/active/expired/terminated/renewed, monthly rent, deposit, NPR, start/end dates; document metadata/file and relationship IDs.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Rental property; tenant Contact; optional Owner; assigned agents; files; date/status fixtures; no property transaction payment setup.
2. Sign in/use role: Agency A authenticated user and Agency B fixture.
3. Navigate to /leases and /documents and capture the initial UI/API/database state.
4. Execute: Substitute Agency B object IDs, related IDs, slugs, files and filter parameters into every Agency A list/detail/create/update/delete/action request.
5. Inspect the network request/response against: CRUD /api/operations/leases/; CRUD /api/operations/documents/; POST/GET /api/leads/{id}/documents/.
6. Refresh/re-query the feature and related modules: Properties, contacts/owners, deals/leads, file storage, tasks/reports.
7. Verify affected models (Lease, Document, LeadDocument, Property, Contact, Owner, Deal, AuditLog)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Properties, contacts/owners, deals/leads, file storage, tasks/reports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LEASE-005</x:v>
      </x:c>
      <x:c r="B9" s="47" t="str">
        <x:v>Leases and Operational Documents</x:v>
      </x:c>
      <x:c r="C9" s="47" t="str">
        <x:v>Leases and Operational Documents</x:v>
      </x:c>
      <x:c r="D9" s="47" t="str">
        <x:v>Verify Leases and Operational Documents list, search and filter scoping</x:v>
      </x:c>
      <x:c r="E9" s="47" t="str">
        <x:v>Search/filter lists honor scoped related fields and status.</x:v>
      </x:c>
      <x:c r="F9" s="47" t="str">
        <x:v>Verify Leases and Operational Documents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Rental property; tenant Contact; optional Owner; assigned agents; files; date/status fixtures; no property transaction payment setup.</x:v>
      </x:c>
      <x:c r="L9" s="47" t="str">
        <x:v>Lease draft/active/expired/terminated/renewed, monthly rent, deposit, NPR, start/end dates; document metadata/file and relationship IDs.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Rental property; tenant Contact; optional Owner; assigned agents; files; date/status fixtures; no property transaction payment setup.
2. Sign in/use role: Agency Owner.
3. Navigate to /leases and /documents and capture the initial UI/API/database state.
4. Execute: Search/filter lists honor scoped related fields and status.
5. Inspect the network request/response against: CRUD /api/operations/leases/; CRUD /api/operations/documents/; POST/GET /api/leads/{id}/documents/.
6. Refresh/re-query the feature and related modules: Properties, contacts/owners, deals/leads, file storage, tasks/reports.
7. Verify affected models (Lease, Document, LeadDocument, Property, Contact, Owner, Deal, AuditLog)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Properties, contacts/owners, deals/leads, file storage, tasks/reports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LEASE-006</x:v>
      </x:c>
      <x:c r="B10" s="47" t="str">
        <x:v>Leases and Operational Documents</x:v>
      </x:c>
      <x:c r="C10" s="47" t="str">
        <x:v>Leases and Operational Documents</x:v>
      </x:c>
      <x:c r="D10" s="47" t="str">
        <x:v>Test duplicate submission and idempotency for Leases and Operational Documents</x:v>
      </x:c>
      <x:c r="E10" s="47" t="str">
        <x:v>Double-click/submit identical requests sequentially and concurrently. Current rule: Repeated upload creates multiple documents unless a uniqueness rule exists; current implementation has no general idempotency key.</x:v>
      </x:c>
      <x:c r="F10" s="47" t="str">
        <x:v>Test duplicate submission and idempotency for Leases and Operational Documents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Rental property; tenant Contact; optional Owner; assigned agents; files; date/status fixtures; no property transaction payment setup.</x:v>
      </x:c>
      <x:c r="L10" s="47" t="str">
        <x:v>Lease draft/active/expired/terminated/renewed, monthly rent, deposit, NPR, start/end dates; document metadata/file and relationship IDs.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Rental property; tenant Contact; optional Owner; assigned agents; files; date/status fixtures; no property transaction payment setup.
2. Sign in/use role: Agency Owner.
3. Navigate to /leases and /documents and capture the initial UI/API/database state.
4. Execute: Double-click/submit identical requests sequentially and concurrently. Current rule: Repeated upload creates multiple documents unless a uniqueness rule exists; current implementation has no general idempotency key.
5. Inspect the network request/response against: CRUD /api/operations/leases/; CRUD /api/operations/documents/; POST/GET /api/leads/{id}/documents/.
6. Refresh/re-query the feature and related modules: Properties, contacts/owners, deals/leads, file storage, tasks/reports.
7. Verify affected models (Lease, Document, LeadDocument, Property, Contact, Owner, Deal, AuditLog)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Properties, contacts/owners, deals/leads, file storage, tasks/reports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LEASE-007</x:v>
      </x:c>
      <x:c r="B11" s="47" t="str">
        <x:v>Leases and Operational Documents</x:v>
      </x:c>
      <x:c r="C11" s="47" t="str">
        <x:v>Leases and Operational Documents</x:v>
      </x:c>
      <x:c r="D11" s="47" t="str">
        <x:v>Verify deletion and dependency behavior for Leases and Operational Documents</x:v>
      </x:c>
      <x:c r="E11" s="47" t="str">
        <x:v>Delete an unreferenced record, a referenced record, a foreign-tenant record, and an already-deleted ID. Current rule: Property/tenant Contact are PROTECT for Lease deletion dependencies; deleting Lease removes only lease; Document deletion removes its row/storage object by configured storage behavior.</x:v>
      </x:c>
      <x:c r="F11" s="47" t="str">
        <x:v>Verify deletion and dependency behavior for Leases and Operational Documents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Rental property; tenant Contact; optional Owner; assigned agents; files; date/status fixtures; no property transaction payment setup.</x:v>
      </x:c>
      <x:c r="L11" s="47" t="str">
        <x:v>Lease draft/active/expired/terminated/renewed, monthly rent, deposit, NPR, start/end dates; document metadata/file and relationship IDs.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Rental property; tenant Contact; optional Owner; assigned agents; files; date/status fixtures; no property transaction payment setup.
2. Sign in/use role: Agency Owner or Agency Manager.
3. Navigate to /leases and /documents and capture the initial UI/API/database state.
4. Execute: Delete an unreferenced record, a referenced record, a foreign-tenant record, and an already-deleted ID. Current rule: Property/tenant Contact are PROTECT for Lease deletion dependencies; deleting Lease removes only lease; Document deletion removes its row/storage object by configured storage behavior.
5. Inspect the network request/response against: CRUD /api/operations/leases/; CRUD /api/operations/documents/; POST/GET /api/leads/{id}/documents/.
6. Refresh/re-query the feature and related modules: Properties, contacts/owners, deals/leads, file storage, tasks/reports.
7. Verify affected models (Lease, Document, LeadDocument, Property, Contact, Owner, Deal, AuditLog)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Properties, contacts/owners, deals/leads, file storage, tasks/reports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LEASE-008</x:v>
      </x:c>
      <x:c r="B12" s="47" t="str">
        <x:v>Leases and Operational Documents</x:v>
      </x:c>
      <x:c r="C12" s="47" t="str">
        <x:v>Leases and Operational Documents</x:v>
      </x:c>
      <x:c r="D12" s="47" t="str">
        <x:v>Recover cleanly from API/network failure during Leases and Operational Documents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Leases and Operational Documents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Rental property; tenant Contact; optional Owner; assigned agents; files; date/status fixtures; no property transaction payment setup.</x:v>
      </x:c>
      <x:c r="L12" s="47" t="str">
        <x:v>Lease draft/active/expired/terminated/renewed, monthly rent, deposit, NPR, start/end dates; document metadata/file and relationship IDs.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Rental property; tenant Contact; optional Owner; assigned agents; files; date/status fixtures; no property transaction payment setup.
2. Sign in/use role: Agency Owner.
3. Navigate to /leases and /documents and capture the initial UI/API/database state.
4. Execute: Simulate timeout, offline browser, 500 response, expired access token and failed refresh while submitting the primary workflow.
5. Inspect the network request/response against: CRUD /api/operations/leases/; CRUD /api/operations/documents/; POST/GET /api/leads/{id}/documents/.
6. Refresh/re-query the feature and related modules: Properties, contacts/owners, deals/leads, file storage, tasks/reports.
7. Verify affected models (Lease, Document, LeadDocument, Property, Contact, Owner, Deal, AuditLog)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Properties, contacts/owners, deals/leads, file storage, tasks/reports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LEASE-009</x:v>
      </x:c>
      <x:c r="B13" s="47" t="str">
        <x:v>Leases and Operational Documents</x:v>
      </x:c>
      <x:c r="C13" s="47" t="str">
        <x:v>Leases and Operational Documents</x:v>
      </x:c>
      <x:c r="D13" s="47" t="str">
        <x:v>Lease end date precedes start date</x:v>
      </x:c>
      <x:c r="E13" s="47" t="str">
        <x:v>Create/update a lease with end_date before start_date and with negative rent/deposit.</x:v>
      </x:c>
      <x:c r="F13" s="47" t="str">
        <x:v>Lease end date precedes start date</x:v>
      </x:c>
      <x:c r="G13" s="47" t="str">
        <x:v>Validation</x:v>
      </x:c>
      <x:c r="H13" s="53" t="str">
        <x:v>P0</x:v>
      </x:c>
      <x:c r="I13" s="53" t="str">
        <x:v>Critical</x:v>
      </x:c>
      <x:c r="J13" s="47" t="str">
        <x:v>Agency user</x:v>
      </x:c>
      <x:c r="K13" s="47" t="str">
        <x:v>Rental property; tenant Contact; optional Owner; assigned agents; files; date/status fixtures; no property transaction payment setup.</x:v>
      </x:c>
      <x:c r="L13" s="47" t="str">
        <x:v>Lease draft/active/expired/terminated/renewed, monthly rent, deposit, NPR, start/end dates; document metadata/file and relationship IDs.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Rental property; tenant Contact; optional Owner; assigned agents; files; date/status fixtures; no property transaction payment setup.
2. Sign in/use role: Agency user.
3. Navigate to /leases and /documents and capture the initial UI/API/database state.
4. Execute: Create/update a lease with end_date before start_date and with negative rent/deposit.
5. Inspect the network request/response against: CRUD /api/operations/leases/; CRUD /api/operations/documents/; POST/GET /api/leads/{id}/documents/.
6. Refresh/re-query the feature and related modules: Properties, contacts/owners, deals/leads, file storage, tasks/reports.
7. Verify affected models (Lease, Document, LeadDocument, Property, Contact, Owner, Deal, AuditLog) and all listed side effects.</x:v>
      </x:c>
      <x:c r="O13" s="47" t="str">
        <x:v>Serializer/model validation should return field errors; if accepted, flag as probable validation gap rather than assuming rejection.</x:v>
      </x:c>
      <x:c r="P13" s="47" t="str">
        <x:v>No invalid row should commit under expected rule; record actual current behavior.</x:v>
      </x:c>
      <x:c r="Q13" s="47" t="str">
        <x:v>Expected/recommended 400; current implementation must be recorded if 201/200.</x:v>
      </x:c>
      <x:c r="R13" s="47" t="str">
        <x:v>Form should block dates/amounts or show server errors.</x:v>
      </x:c>
      <x:c r="S13" s="47" t="str">
        <x:v>No property status/payment/report mutation.</x:v>
      </x:c>
      <x:c r="T13" s="47" t="str">
        <x:v>Properties, contacts/owners, deals/leads, file storage, tasks/reports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LEASE-010</x:v>
      </x:c>
      <x:c r="B14" s="47" t="str">
        <x:v>Leases and Operational Documents</x:v>
      </x:c>
      <x:c r="C14" s="47" t="str">
        <x:v>Leases and Operational Documents</x:v>
      </x:c>
      <x:c r="D14" s="47" t="str">
        <x:v>Deleting property referenced by lease is protected</x:v>
      </x:c>
      <x:c r="E14" s="47" t="str">
        <x:v>Attempt Property delete while Lease.property references it.</x:v>
      </x:c>
      <x:c r="F14" s="47" t="str">
        <x:v>Deleting property referenced by lease is protected</x:v>
      </x:c>
      <x:c r="G14" s="47" t="str">
        <x:v>Database</x:v>
      </x:c>
      <x:c r="H14" s="53" t="str">
        <x:v>P0</x:v>
      </x:c>
      <x:c r="I14" s="53" t="str">
        <x:v>Critical</x:v>
      </x:c>
      <x:c r="J14" s="47" t="str">
        <x:v>Agency Owner</x:v>
      </x:c>
      <x:c r="K14" s="47" t="str">
        <x:v>Rental property; tenant Contact; optional Owner; assigned agents; files; date/status fixtures; no property transaction payment setup.</x:v>
      </x:c>
      <x:c r="L14" s="47" t="str">
        <x:v>Lease draft/active/expired/terminated/renewed, monthly rent, deposit, NPR, start/end dates; document metadata/file and relationship IDs.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Rental property; tenant Contact; optional Owner; assigned agents; files; date/status fixtures; no property transaction payment setup.
2. Sign in/use role: Agency Owner.
3. Navigate to /leases and /documents and capture the initial UI/API/database state.
4. Execute: Attempt Property delete while Lease.property references it.
5. Inspect the network request/response against: CRUD /api/operations/leases/; CRUD /api/operations/documents/; POST/GET /api/leads/{id}/documents/.
6. Refresh/re-query the feature and related modules: Properties, contacts/owners, deals/leads, file storage, tasks/reports.
7. Verify affected models (Lease, Document, LeadDocument, Property, Contact, Owner, Deal, AuditLog) and all listed side effects.</x:v>
      </x:c>
      <x:c r="O14" s="47" t="str">
        <x:v>PROTECT prevents property deletion and preserves the lease.</x:v>
      </x:c>
      <x:c r="P14" s="47" t="str">
        <x:v>Property and Lease remain; no partial media/history cascade; failed audit semantics inspected.</x:v>
      </x:c>
      <x:c r="Q14" s="47" t="str">
        <x:v>DELETE property returns conflict/validation error rather than 500.</x:v>
      </x:c>
      <x:c r="R14" s="47" t="str">
        <x:v>User sees dependency explanation.</x:v>
      </x:c>
      <x:c r="S14" s="47" t="str">
        <x:v>Public listing remains until separately changed.</x:v>
      </x:c>
      <x:c r="T14" s="47" t="str">
        <x:v>Properties, contacts/owners, deals/leads, file storage, tasks/reports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LEASE-011</x:v>
      </x:c>
      <x:c r="B15" s="47" t="str">
        <x:v>Leases and Operational Documents</x:v>
      </x:c>
      <x:c r="C15" s="47" t="str">
        <x:v>Leases and Operational Documents</x:v>
      </x:c>
      <x:c r="D15" s="47" t="str">
        <x:v>No rent payment is created from lease</x:v>
      </x:c>
      <x:c r="E15" s="47" t="str">
        <x:v>Create/activate/renew a lease and inspect API calls/database.</x:v>
      </x:c>
      <x:c r="F15" s="47" t="str">
        <x:v>No rent payment is created from lease</x:v>
      </x:c>
      <x:c r="G15" s="47" t="str">
        <x:v>Regression</x:v>
      </x:c>
      <x:c r="H15" s="53" t="str">
        <x:v>P0</x:v>
      </x:c>
      <x:c r="I15" s="53" t="str">
        <x:v>Critical</x:v>
      </x:c>
      <x:c r="J15" s="47" t="str">
        <x:v>Agency user</x:v>
      </x:c>
      <x:c r="K15" s="47" t="str">
        <x:v>Rental property; tenant Contact; optional Owner; assigned agents; files; date/status fixtures; no property transaction payment setup.</x:v>
      </x:c>
      <x:c r="L15" s="47" t="str">
        <x:v>Lease draft/active/expired/terminated/renewed, monthly rent, deposit, NPR, start/end dates; document metadata/file and relationship IDs.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Rental property; tenant Contact; optional Owner; assigned agents; files; date/status fixtures; no property transaction payment setup.
2. Sign in/use role: Agency user.
3. Navigate to /leases and /documents and capture the initial UI/API/database state.
4. Execute: Create/activate/renew a lease and inspect API calls/database.
5. Inspect the network request/response against: CRUD /api/operations/leases/; CRUD /api/operations/documents/; POST/GET /api/leads/{id}/documents/.
6. Refresh/re-query the feature and related modules: Properties, contacts/owners, deals/leads, file storage, tasks/reports.
7. Verify affected models (Lease, Document, LeadDocument, Property, Contact, Owner, Deal, AuditLog) and all listed side effects.</x:v>
      </x:c>
      <x:c r="O15" s="47" t="str">
        <x:v>Only lease records change; no Stripe checkout, payment, transaction, escrow or bank instruction is created.</x:v>
      </x:c>
      <x:c r="P15" s="47" t="str">
        <x:v>Lease/Audit only; SubscriptionPayment remains untouched.</x:v>
      </x:c>
      <x:c r="Q15" s="47" t="str">
        <x:v>No property-payment endpoint is called.</x:v>
      </x:c>
      <x:c r="R15" s="47" t="str">
        <x:v>UI shows recorded monthly rent/deposit but no pay action.</x:v>
      </x:c>
      <x:c r="S15" s="47" t="str">
        <x:v>SaaS billing remains separate.</x:v>
      </x:c>
      <x:c r="T15" s="47" t="str">
        <x:v>Properties, contacts/owners, deals/leads, file storage, tasks/reports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LEASE-012</x:v>
      </x:c>
      <x:c r="B16" s="48" t="str">
        <x:v>Leases and Operational Documents</x:v>
      </x:c>
      <x:c r="C16" s="48" t="str">
        <x:v>Leases and Operational Documents</x:v>
      </x:c>
      <x:c r="D16" s="48" t="str">
        <x:v>Cross-linked document obeys every tenant relationship</x:v>
      </x:c>
      <x:c r="E16" s="48" t="str">
        <x:v>Upload a Document with Agency A lead plus Agency B property/deal/contact IDs.</x:v>
      </x:c>
      <x:c r="F16" s="48" t="str">
        <x:v>Cross-linked document obeys every tenant relationship</x:v>
      </x:c>
      <x:c r="G16" s="48" t="str">
        <x:v>Security</x:v>
      </x:c>
      <x:c r="H16" s="54" t="str">
        <x:v>P0</x:v>
      </x:c>
      <x:c r="I16" s="54" t="str">
        <x:v>Critical</x:v>
      </x:c>
      <x:c r="J16" s="48" t="str">
        <x:v>Agency A user</x:v>
      </x:c>
      <x:c r="K16" s="48" t="str">
        <x:v>Rental property; tenant Contact; optional Owner; assigned agents; files; date/status fixtures; no property transaction payment setup.</x:v>
      </x:c>
      <x:c r="L16" s="48" t="str">
        <x:v>Lease draft/active/expired/terminated/renewed, monthly rent, deposit, NPR, start/end dates; document metadata/file and relationship IDs.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Rental property; tenant Contact; optional Owner; assigned agents; files; date/status fixtures; no property transaction payment setup.
2. Sign in/use role: Agency A user.
3. Navigate to /leases and /documents and capture the initial UI/API/database state.
4. Execute: Upload a Document with Agency A lead plus Agency B property/deal/contact IDs.
5. Inspect the network request/response against: CRUD /api/operations/leases/; CRUD /api/operations/documents/; POST/GET /api/leads/{id}/documents/.
6. Refresh/re-query the feature and related modules: Properties, contacts/owners, deals/leads, file storage, tasks/reports.
7. Verify affected models (Lease, Document, LeadDocument, Property, Contact, Owner, Deal, AuditLog) and all listed side effects.</x:v>
      </x:c>
      <x:c r="O16" s="48" t="str">
        <x:v>Request fails; it cannot create a record with mixed-tenant references.</x:v>
      </x:c>
      <x:c r="P16" s="48" t="str">
        <x:v>No Document/file/Audit row created.</x:v>
      </x:c>
      <x:c r="Q16" s="48" t="str">
        <x:v>POST returns 400/scoped not-found.</x:v>
      </x:c>
      <x:c r="R16" s="48" t="str">
        <x:v>Upload form shows relation error and no list entry.</x:v>
      </x:c>
      <x:c r="S16" s="48" t="str">
        <x:v>No private filename/metadata leak.</x:v>
      </x:c>
      <x:c r="T16" s="48" t="str">
        <x:v>Properties, contacts/owners, deals/leads, file storage, tasks/reports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128" priority="1">
      <x:formula>H5="P0"</x:formula>
    </x:cfRule>
    <x:cfRule type="expression" dxfId="129" priority="2">
      <x:formula>H5="P1"</x:formula>
    </x:cfRule>
    <x:cfRule type="expression" dxfId="130" priority="3">
      <x:formula>H5="P2"</x:formula>
    </x:cfRule>
    <x:cfRule type="expression" dxfId="131" priority="4">
      <x:formula>H5="P3"</x:formula>
    </x:cfRule>
  </x:conditionalFormatting>
  <x:conditionalFormatting sqref="W5:W16">
    <x:cfRule type="expression" dxfId="132" priority="5">
      <x:formula>W5="Passed"</x:formula>
    </x:cfRule>
    <x:cfRule type="expression" dxfId="133" priority="6">
      <x:formula>W5="Failed"</x:formula>
    </x:cfRule>
    <x:cfRule type="expression" dxfId="134" priority="7">
      <x:formula>W5="Blocked"</x:formula>
    </x:cfRule>
    <x:cfRule type="expression" dxfId="135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ebf3914d4e41c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Tasks, Notifications and Audit Log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TASK-001</x:v>
      </x:c>
      <x:c r="B5" s="46" t="str">
        <x:v>Tasks, Notifications and Audit Log</x:v>
      </x:c>
      <x:c r="C5" s="46" t="str">
        <x:v>Tasks, Notifications and Audit Log</x:v>
      </x:c>
      <x:c r="D5" s="46" t="str">
        <x:v>Complete the primary Tasks, Notifications and Audit Log workflow</x:v>
      </x:c>
      <x:c r="E5" s="46" t="str">
        <x:v>Create and assign a linked task, process its reminder, complete it, and inspect notification/audit records.</x:v>
      </x:c>
      <x:c r="F5" s="46" t="str">
        <x:v>Complete the primary Tasks, Notifications and Audit Log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Agency A/B users; assigned tasks in past/today/future; linked CRM records; unread notifications.</x:v>
      </x:c>
      <x:c r="L5" s="46" t="str">
        <x:v>Task title/status todo/in_progress/done/cancelled, priority, due_at, assigned_to and related IDs.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Agency A/B users; assigned tasks in past/today/future; linked CRM records; unread notifications.
2. Sign in/use role: Agency Owner.
3. Navigate to /tasks, /notifications, /audit-log, /calendar and capture the initial UI/API/database state.
4. Execute: Create and assign a linked task, process its reminder, complete it, and inspect notification/audit records.
5. Inspect the network request/response against: CRUD /api/operations/tasks/; read/read-all notification actions; GET /api/operations/audit-logs/.
6. Refresh/re-query the feature and related modules: All operations mutations, email/reminder command, calendar, dashboard.
7. Verify affected models (Task, Notification, AuditLog, Lead, Deal, Property) and all listed side effects.</x:v>
      </x:c>
      <x:c r="O5" s="46" t="str">
        <x:v>Task is scoped and assigned correctly; assignee is notified; due filters/reminder/status/completed_at are consistent; audit log is manager-only/read-only.</x:v>
      </x:c>
      <x:c r="P5" s="46" t="str">
        <x:v>Task/Notification/AuditLog update/add; read action flips is_read; completion should stamp completed_at according to serializer behavior.</x:v>
      </x:c>
      <x:c r="Q5" s="46" t="str">
        <x:v>Use the documented routes: CRUD /api/operations/tasks/; read/read-all notification actions; GET /api/operations/audit-logs/. Successful create operations return 201, reads/updates/actions 200, and deletes 204 where provided; capture exact endpoint-specific response.</x:v>
      </x:c>
      <x:c r="R5" s="46" t="str">
        <x:v>Start at /tasks, /notifications, /audit-log, /calendar. The visible state must match the saved API response after refresh.</x:v>
      </x:c>
      <x:c r="S5" s="46" t="str">
        <x:v>Calendar, dashboard counts, agent workload and email/in-app alerts change.</x:v>
      </x:c>
      <x:c r="T5" s="46" t="str">
        <x:v>All operations mutations, email/reminder command, calendar, dashboard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TASK-002</x:v>
      </x:c>
      <x:c r="B6" s="47" t="str">
        <x:v>Tasks, Notifications and Audit Log</x:v>
      </x:c>
      <x:c r="C6" s="47" t="str">
        <x:v>Tasks, Notifications and Audit Log</x:v>
      </x:c>
      <x:c r="D6" s="47" t="str">
        <x:v>Reject invalid or missing Tasks, Notifications and Audit Log inputs</x:v>
      </x:c>
      <x:c r="E6" s="47" t="str">
        <x:v>Reject cross-tenant assignee/relations, missing title, invalid status/priority/date, agent assignment to another user, agent delete, audit mutation and notification IDOR.</x:v>
      </x:c>
      <x:c r="F6" s="47" t="str">
        <x:v>Reject invalid or missing Tasks, Notifications and Audit Log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Agency A/B users; assigned tasks in past/today/future; linked CRM records; unread notifications.</x:v>
      </x:c>
      <x:c r="L6" s="47" t="str">
        <x:v>Task title/status todo/in_progress/done/cancelled, priority, due_at, assigned_to and related IDs.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Agency A/B users; assigned tasks in past/today/future; linked CRM records; unread notifications.
2. Sign in/use role: Agency Owner.
3. Navigate to /tasks, /notifications, /audit-log, /calendar and capture the initial UI/API/database state.
4. Execute: Reject cross-tenant assignee/relations, missing title, invalid status/priority/date, agent assignment to another user, agent delete, audit mutation and notification IDOR.
5. Inspect the network request/response against: CRUD /api/operations/tasks/; read/read-all notification actions; GET /api/operations/audit-logs/.
6. Refresh/re-query the feature and related modules: All operations mutations, email/reminder command, calendar, dashboard.
7. Verify affected models (Task, Notification, AuditLog, Lead, Deal, Property)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All operations mutations, email/reminder command, calendar, dashboard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TASK-003</x:v>
      </x:c>
      <x:c r="B7" s="47" t="str">
        <x:v>Tasks, Notifications and Audit Log</x:v>
      </x:c>
      <x:c r="C7" s="47" t="str">
        <x:v>Tasks, Notifications and Audit Log</x:v>
      </x:c>
      <x:c r="D7" s="47" t="str">
        <x:v>Enforce Tasks, Notifications and Audit Log role permissions</x:v>
      </x:c>
      <x:c r="E7" s="47" t="str">
        <x:v>Agent sees tasks assigned to or created by them and only their notifications; owner/manager sees tenant tasks/audit; audit is read-only.</x:v>
      </x:c>
      <x:c r="F7" s="47" t="str">
        <x:v>Enforce Tasks, Notifications and Audit Log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Agency A/B users; assigned tasks in past/today/future; linked CRM records; unread notifications.</x:v>
      </x:c>
      <x:c r="L7" s="47" t="str">
        <x:v>Task title/status todo/in_progress/done/cancelled, priority, due_at, assigned_to and related IDs.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Agency A/B users; assigned tasks in past/today/future; linked CRM records; unread notifications.
2. Sign in/use role: Exercise every listed role plus an unauthenticated caller.
3. Navigate to /tasks, /notifications, /audit-log, /calendar and capture the initial UI/API/database state.
4. Execute: Agent sees tasks assigned to or created by them and only their notifications; owner/manager sees tenant tasks/audit; audit is read-only.
5. Inspect the network request/response against: CRUD /api/operations/tasks/; read/read-all notification actions; GET /api/operations/audit-logs/.
6. Refresh/re-query the feature and related modules: All operations mutations, email/reminder command, calendar, dashboard.
7. Verify affected models (Task, Notification, AuditLog, Lead, Deal, Property)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All operations mutations, email/reminder command, calendar, dashboard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TASK-004</x:v>
      </x:c>
      <x:c r="B8" s="47" t="str">
        <x:v>Tasks, Notifications and Audit Log</x:v>
      </x:c>
      <x:c r="C8" s="47" t="str">
        <x:v>Tasks, Notifications and Audit Log</x:v>
      </x:c>
      <x:c r="D8" s="47" t="str">
        <x:v>Prevent cross-tenant access in Tasks, Notifications and Audit Log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Tasks, Notifications and Audit Log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Agency A/B users; assigned tasks in past/today/future; linked CRM records; unread notifications.</x:v>
      </x:c>
      <x:c r="L8" s="47" t="str">
        <x:v>Task title/status todo/in_progress/done/cancelled, priority, due_at, assigned_to and related IDs.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Agency A/B users; assigned tasks in past/today/future; linked CRM records; unread notifications.
2. Sign in/use role: Agency A authenticated user and Agency B fixture.
3. Navigate to /tasks, /notifications, /audit-log, /calendar and capture the initial UI/API/database state.
4. Execute: Substitute Agency B object IDs, related IDs, slugs, files and filter parameters into every Agency A list/detail/create/update/delete/action request.
5. Inspect the network request/response against: CRUD /api/operations/tasks/; read/read-all notification actions; GET /api/operations/audit-logs/.
6. Refresh/re-query the feature and related modules: All operations mutations, email/reminder command, calendar, dashboard.
7. Verify affected models (Task, Notification, AuditLog, Lead, Deal, Property)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All operations mutations, email/reminder command, calendar, dashboard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TASK-005</x:v>
      </x:c>
      <x:c r="B9" s="47" t="str">
        <x:v>Tasks, Notifications and Audit Log</x:v>
      </x:c>
      <x:c r="C9" s="47" t="str">
        <x:v>Tasks, Notifications and Audit Log</x:v>
      </x:c>
      <x:c r="D9" s="47" t="str">
        <x:v>Verify Tasks, Notifications and Audit Log list, search and filter scoping</x:v>
      </x:c>
      <x:c r="E9" s="47" t="str">
        <x:v>Task due filters overdue/today/upcoming and audit entity_type filter preserve scope.</x:v>
      </x:c>
      <x:c r="F9" s="47" t="str">
        <x:v>Verify Tasks, Notifications and Audit Log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Agency A/B users; assigned tasks in past/today/future; linked CRM records; unread notifications.</x:v>
      </x:c>
      <x:c r="L9" s="47" t="str">
        <x:v>Task title/status todo/in_progress/done/cancelled, priority, due_at, assigned_to and related IDs.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Agency A/B users; assigned tasks in past/today/future; linked CRM records; unread notifications.
2. Sign in/use role: Agency Owner.
3. Navigate to /tasks, /notifications, /audit-log, /calendar and capture the initial UI/API/database state.
4. Execute: Task due filters overdue/today/upcoming and audit entity_type filter preserve scope.
5. Inspect the network request/response against: CRUD /api/operations/tasks/; read/read-all notification actions; GET /api/operations/audit-logs/.
6. Refresh/re-query the feature and related modules: All operations mutations, email/reminder command, calendar, dashboard.
7. Verify affected models (Task, Notification, AuditLog, Lead, Deal, Property)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All operations mutations, email/reminder command, calendar, dashboard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TASK-006</x:v>
      </x:c>
      <x:c r="B10" s="47" t="str">
        <x:v>Tasks, Notifications and Audit Log</x:v>
      </x:c>
      <x:c r="C10" s="47" t="str">
        <x:v>Tasks, Notifications and Audit Log</x:v>
      </x:c>
      <x:c r="D10" s="47" t="str">
        <x:v>Test duplicate submission and idempotency for Tasks, Notifications and Audit Log</x:v>
      </x:c>
      <x:c r="E10" s="47" t="str">
        <x:v>Double-click/submit identical requests sequentially and concurrently. Current rule: Reminder processing and read-all are idempotent; assigning the same task twice must not duplicate assignment notification unless an actual reassignment occurs.</x:v>
      </x:c>
      <x:c r="F10" s="47" t="str">
        <x:v>Test duplicate submission and idempotency for Tasks, Notifications and Audit Log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Agency A/B users; assigned tasks in past/today/future; linked CRM records; unread notifications.</x:v>
      </x:c>
      <x:c r="L10" s="47" t="str">
        <x:v>Task title/status todo/in_progress/done/cancelled, priority, due_at, assigned_to and related IDs.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Agency A/B users; assigned tasks in past/today/future; linked CRM records; unread notifications.
2. Sign in/use role: Agency Owner.
3. Navigate to /tasks, /notifications, /audit-log, /calendar and capture the initial UI/API/database state.
4. Execute: Double-click/submit identical requests sequentially and concurrently. Current rule: Reminder processing and read-all are idempotent; assigning the same task twice must not duplicate assignment notification unless an actual reassignment occurs.
5. Inspect the network request/response against: CRUD /api/operations/tasks/; read/read-all notification actions; GET /api/operations/audit-logs/.
6. Refresh/re-query the feature and related modules: All operations mutations, email/reminder command, calendar, dashboard.
7. Verify affected models (Task, Notification, AuditLog, Lead, Deal, Property)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All operations mutations, email/reminder command, calendar, dashboard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TASK-007</x:v>
      </x:c>
      <x:c r="B11" s="47" t="str">
        <x:v>Tasks, Notifications and Audit Log</x:v>
      </x:c>
      <x:c r="C11" s="47" t="str">
        <x:v>Tasks, Notifications and Audit Log</x:v>
      </x:c>
      <x:c r="D11" s="47" t="str">
        <x:v>Verify deletion and dependency behavior for Tasks, Notifications and Audit Log</x:v>
      </x:c>
      <x:c r="E11" s="47" t="str">
        <x:v>Delete an unreferenced record, a referenced record, a foreign-tenant record, and an already-deleted ID. Current rule: Only owner/manager deletes Task; Notification/audit delete endpoints are not exposed; related business records survive task deletion.</x:v>
      </x:c>
      <x:c r="F11" s="47" t="str">
        <x:v>Verify deletion and dependency behavior for Tasks, Notifications and Audit Log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Agency A/B users; assigned tasks in past/today/future; linked CRM records; unread notifications.</x:v>
      </x:c>
      <x:c r="L11" s="47" t="str">
        <x:v>Task title/status todo/in_progress/done/cancelled, priority, due_at, assigned_to and related IDs.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Agency A/B users; assigned tasks in past/today/future; linked CRM records; unread notifications.
2. Sign in/use role: Agency Owner or Agency Manager.
3. Navigate to /tasks, /notifications, /audit-log, /calendar and capture the initial UI/API/database state.
4. Execute: Delete an unreferenced record, a referenced record, a foreign-tenant record, and an already-deleted ID. Current rule: Only owner/manager deletes Task; Notification/audit delete endpoints are not exposed; related business records survive task deletion.
5. Inspect the network request/response against: CRUD /api/operations/tasks/; read/read-all notification actions; GET /api/operations/audit-logs/.
6. Refresh/re-query the feature and related modules: All operations mutations, email/reminder command, calendar, dashboard.
7. Verify affected models (Task, Notification, AuditLog, Lead, Deal, Property)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All operations mutations, email/reminder command, calendar, dashboard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TASK-008</x:v>
      </x:c>
      <x:c r="B12" s="47" t="str">
        <x:v>Tasks, Notifications and Audit Log</x:v>
      </x:c>
      <x:c r="C12" s="47" t="str">
        <x:v>Tasks, Notifications and Audit Log</x:v>
      </x:c>
      <x:c r="D12" s="47" t="str">
        <x:v>Recover cleanly from API/network failure during Tasks, Notifications and Audit Log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Tasks, Notifications and Audit Log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Agency A/B users; assigned tasks in past/today/future; linked CRM records; unread notifications.</x:v>
      </x:c>
      <x:c r="L12" s="47" t="str">
        <x:v>Task title/status todo/in_progress/done/cancelled, priority, due_at, assigned_to and related IDs.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Agency A/B users; assigned tasks in past/today/future; linked CRM records; unread notifications.
2. Sign in/use role: Agency Owner.
3. Navigate to /tasks, /notifications, /audit-log, /calendar and capture the initial UI/API/database state.
4. Execute: Simulate timeout, offline browser, 500 response, expired access token and failed refresh while submitting the primary workflow.
5. Inspect the network request/response against: CRUD /api/operations/tasks/; read/read-all notification actions; GET /api/operations/audit-logs/.
6. Refresh/re-query the feature and related modules: All operations mutations, email/reminder command, calendar, dashboard.
7. Verify affected models (Task, Notification, AuditLog, Lead, Deal, Property)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All operations mutations, email/reminder command, calendar, dashboard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TASK-009</x:v>
      </x:c>
      <x:c r="B13" s="47" t="str">
        <x:v>Tasks, Notifications and Audit Log</x:v>
      </x:c>
      <x:c r="C13" s="47" t="str">
        <x:v>Tasks, Notifications and Audit Log</x:v>
      </x:c>
      <x:c r="D13" s="47" t="str">
        <x:v>Task assignment creates one notification</x:v>
      </x:c>
      <x:c r="E13" s="47" t="str">
        <x:v>Create a task assigned to Agent A, then retrieve Agent A notifications.</x:v>
      </x:c>
      <x:c r="F13" s="47" t="str">
        <x:v>Task assignment creates one notification</x:v>
      </x:c>
      <x:c r="G13" s="47" t="str">
        <x:v>Integration</x:v>
      </x:c>
      <x:c r="H13" s="53" t="str">
        <x:v>P0</x:v>
      </x:c>
      <x:c r="I13" s="53" t="str">
        <x:v>Critical</x:v>
      </x:c>
      <x:c r="J13" s="47" t="str">
        <x:v>Agency Manager</x:v>
      </x:c>
      <x:c r="K13" s="47" t="str">
        <x:v>Agency A/B users; assigned tasks in past/today/future; linked CRM records; unread notifications.</x:v>
      </x:c>
      <x:c r="L13" s="47" t="str">
        <x:v>Task title/status todo/in_progress/done/cancelled, priority, due_at, assigned_to and related IDs.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Agency A/B users; assigned tasks in past/today/future; linked CRM records; unread notifications.
2. Sign in/use role: Agency Manager.
3. Navigate to /tasks, /notifications, /audit-log, /calendar and capture the initial UI/API/database state.
4. Execute: Create a task assigned to Agent A, then retrieve Agent A notifications.
5. Inspect the network request/response against: CRUD /api/operations/tasks/; read/read-all notification actions; GET /api/operations/audit-logs/.
6. Refresh/re-query the feature and related modules: All operations mutations, email/reminder command, calendar, dashboard.
7. Verify affected models (Task, Notification, AuditLog, Lead, Deal, Property) and all listed side effects.</x:v>
      </x:c>
      <x:c r="O13" s="47" t="str">
        <x:v>One task assignment notification links to /tasks and belongs only to Agent A.</x:v>
      </x:c>
      <x:c r="P13" s="47" t="str">
        <x:v>Task +1, Notification +1, AuditLog +1.</x:v>
      </x:c>
      <x:c r="Q13" s="47" t="str">
        <x:v>POST task 201; notifications list 200 for Agent A and excludes it for others.</x:v>
      </x:c>
      <x:c r="R13" s="47" t="str">
        <x:v>Agent sees one unread notification and task.</x:v>
      </x:c>
      <x:c r="S13" s="47" t="str">
        <x:v>Calendar/dashboard may include the due task.</x:v>
      </x:c>
      <x:c r="T13" s="47" t="str">
        <x:v>All operations mutations, email/reminder command, calendar, dashboard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TASK-010</x:v>
      </x:c>
      <x:c r="B14" s="47" t="str">
        <x:v>Tasks, Notifications and Audit Log</x:v>
      </x:c>
      <x:c r="C14" s="47" t="str">
        <x:v>Tasks, Notifications and Audit Log</x:v>
      </x:c>
      <x:c r="D14" s="47" t="str">
        <x:v>Notification IDOR is blocked</x:v>
      </x:c>
      <x:c r="E14" s="47" t="str">
        <x:v>Call read action using Agent B notification ID.</x:v>
      </x:c>
      <x:c r="F14" s="47" t="str">
        <x:v>Notification IDOR is blocked</x:v>
      </x:c>
      <x:c r="G14" s="47" t="str">
        <x:v>Security</x:v>
      </x:c>
      <x:c r="H14" s="53" t="str">
        <x:v>P0</x:v>
      </x:c>
      <x:c r="I14" s="53" t="str">
        <x:v>Critical</x:v>
      </x:c>
      <x:c r="J14" s="47" t="str">
        <x:v>Agent A</x:v>
      </x:c>
      <x:c r="K14" s="47" t="str">
        <x:v>Agency A/B users; assigned tasks in past/today/future; linked CRM records; unread notifications.</x:v>
      </x:c>
      <x:c r="L14" s="47" t="str">
        <x:v>Task title/status todo/in_progress/done/cancelled, priority, due_at, assigned_to and related IDs.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Agency A/B users; assigned tasks in past/today/future; linked CRM records; unread notifications.
2. Sign in/use role: Agent A.
3. Navigate to /tasks, /notifications, /audit-log, /calendar and capture the initial UI/API/database state.
4. Execute: Call read action using Agent B notification ID.
5. Inspect the network request/response against: CRUD /api/operations/tasks/; read/read-all notification actions; GET /api/operations/audit-logs/.
6. Refresh/re-query the feature and related modules: All operations mutations, email/reminder command, calendar, dashboard.
7. Verify affected models (Task, Notification, AuditLog, Lead, Deal, Property) and all listed side effects.</x:v>
      </x:c>
      <x:c r="O14" s="47" t="str">
        <x:v>Agent A cannot retrieve or mark it read.</x:v>
      </x:c>
      <x:c r="P14" s="47" t="str">
        <x:v>Agent B Notification.is_read remains false.</x:v>
      </x:c>
      <x:c r="Q14" s="47" t="str">
        <x:v>POST notification/{id}/read returns scoped 404.</x:v>
      </x:c>
      <x:c r="R14" s="47" t="str">
        <x:v>No hidden title/message appears.</x:v>
      </x:c>
      <x:c r="S14" s="47" t="str">
        <x:v>No audit/side effect.</x:v>
      </x:c>
      <x:c r="T14" s="47" t="str">
        <x:v>All operations mutations, email/reminder command, calendar, dashboard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TASK-011</x:v>
      </x:c>
      <x:c r="B15" s="47" t="str">
        <x:v>Tasks, Notifications and Audit Log</x:v>
      </x:c>
      <x:c r="C15" s="47" t="str">
        <x:v>Tasks, Notifications and Audit Log</x:v>
      </x:c>
      <x:c r="D15" s="47" t="str">
        <x:v>Due reminder command handles mail failure</x:v>
      </x:c>
      <x:c r="E15" s="47" t="str">
        <x:v>Mock email failure for a due task and run send_task_reminders, then recover and rerun.</x:v>
      </x:c>
      <x:c r="F15" s="47" t="str">
        <x:v>Due reminder command handles mail failure</x:v>
      </x:c>
      <x:c r="G15" s="47" t="str">
        <x:v>Recovery</x:v>
      </x:c>
      <x:c r="H15" s="53" t="str">
        <x:v>P1</x:v>
      </x:c>
      <x:c r="I15" s="53" t="str">
        <x:v>High</x:v>
      </x:c>
      <x:c r="J15" s="47" t="str">
        <x:v>Scheduler</x:v>
      </x:c>
      <x:c r="K15" s="47" t="str">
        <x:v>Agency A/B users; assigned tasks in past/today/future; linked CRM records; unread notifications.</x:v>
      </x:c>
      <x:c r="L15" s="47" t="str">
        <x:v>Task title/status todo/in_progress/done/cancelled, priority, due_at, assigned_to and related IDs.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Agency A/B users; assigned tasks in past/today/future; linked CRM records; unread notifications.
2. Sign in/use role: Scheduler.
3. Navigate to /tasks, /notifications, /audit-log, /calendar and capture the initial UI/API/database state.
4. Execute: Mock email failure for a due task and run send_task_reminders, then recover and rerun.
5. Inspect the network request/response against: CRUD /api/operations/tasks/; read/read-all notification actions; GET /api/operations/audit-logs/.
6. Refresh/re-query the feature and related modules: All operations mutations, email/reminder command, calendar, dashboard.
7. Verify affected models (Task, Notification, AuditLog, Lead, Deal, Property) and all listed side effects.</x:v>
      </x:c>
      <x:c r="O15" s="47" t="str">
        <x:v>Failure is logged/recorded without aborting unrelated tasks; retry behavior follows implementation and does not falsely mark success.</x:v>
      </x:c>
      <x:c r="P15" s="47" t="str">
        <x:v>Inspect reminder/error timestamps for failed and successful records.</x:v>
      </x:c>
      <x:c r="Q15" s="47" t="str">
        <x:v>Management command exits/continues according to implementation; no API response.</x:v>
      </x:c>
      <x:c r="R15" s="47" t="str">
        <x:v>No false success notification; eventual retry reaches recipient.</x:v>
      </x:c>
      <x:c r="S15" s="47" t="str">
        <x:v>Other due tasks process independently.</x:v>
      </x:c>
      <x:c r="T15" s="47" t="str">
        <x:v>All operations mutations, email/reminder command, calendar, dashboard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Maybe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TASK-012</x:v>
      </x:c>
      <x:c r="B16" s="48" t="str">
        <x:v>Tasks, Notifications and Audit Log</x:v>
      </x:c>
      <x:c r="C16" s="48" t="str">
        <x:v>Tasks, Notifications and Audit Log</x:v>
      </x:c>
      <x:c r="D16" s="48" t="str">
        <x:v>Audit log cannot be modified</x:v>
      </x:c>
      <x:c r="E16" s="48" t="str">
        <x:v>Try POST/PATCH/DELETE against audit-log routes and access Agency B log ID.</x:v>
      </x:c>
      <x:c r="F16" s="48" t="str">
        <x:v>Audit log cannot be modified</x:v>
      </x:c>
      <x:c r="G16" s="48" t="str">
        <x:v>Security</x:v>
      </x:c>
      <x:c r="H16" s="54" t="str">
        <x:v>P0</x:v>
      </x:c>
      <x:c r="I16" s="54" t="str">
        <x:v>Critical</x:v>
      </x:c>
      <x:c r="J16" s="48" t="str">
        <x:v>Agency Owner</x:v>
      </x:c>
      <x:c r="K16" s="48" t="str">
        <x:v>Agency A/B users; assigned tasks in past/today/future; linked CRM records; unread notifications.</x:v>
      </x:c>
      <x:c r="L16" s="48" t="str">
        <x:v>Task title/status todo/in_progress/done/cancelled, priority, due_at, assigned_to and related IDs.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Agency A/B users; assigned tasks in past/today/future; linked CRM records; unread notifications.
2. Sign in/use role: Agency Owner.
3. Navigate to /tasks, /notifications, /audit-log, /calendar and capture the initial UI/API/database state.
4. Execute: Try POST/PATCH/DELETE against audit-log routes and access Agency B log ID.
5. Inspect the network request/response against: CRUD /api/operations/tasks/; read/read-all notification actions; GET /api/operations/audit-logs/.
6. Refresh/re-query the feature and related modules: All operations mutations, email/reminder command, calendar, dashboard.
7. Verify affected models (Task, Notification, AuditLog, Lead, Deal, Property) and all listed side effects.</x:v>
      </x:c>
      <x:c r="O16" s="48" t="str">
        <x:v>Mutations are method-not-allowed; cross-tenant reads are hidden.</x:v>
      </x:c>
      <x:c r="P16" s="48" t="str">
        <x:v>AuditLog rows are immutable through API.</x:v>
      </x:c>
      <x:c r="Q16" s="48" t="str">
        <x:v>405 for mutations; 404/empty for tenant mismatch.</x:v>
      </x:c>
      <x:c r="R16" s="48" t="str">
        <x:v>Audit page offers no edit/delete control.</x:v>
      </x:c>
      <x:c r="S16" s="48" t="str">
        <x:v>Compliance history remains intact.</x:v>
      </x:c>
      <x:c r="T16" s="48" t="str">
        <x:v>All operations mutations, email/reminder command, calendar, dashboard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136" priority="1">
      <x:formula>H5="P0"</x:formula>
    </x:cfRule>
    <x:cfRule type="expression" dxfId="137" priority="2">
      <x:formula>H5="P1"</x:formula>
    </x:cfRule>
    <x:cfRule type="expression" dxfId="138" priority="3">
      <x:formula>H5="P2"</x:formula>
    </x:cfRule>
    <x:cfRule type="expression" dxfId="139" priority="4">
      <x:formula>H5="P3"</x:formula>
    </x:cfRule>
  </x:conditionalFormatting>
  <x:conditionalFormatting sqref="W5:W16">
    <x:cfRule type="expression" dxfId="140" priority="5">
      <x:formula>W5="Passed"</x:formula>
    </x:cfRule>
    <x:cfRule type="expression" dxfId="141" priority="6">
      <x:formula>W5="Failed"</x:formula>
    </x:cfRule>
    <x:cfRule type="expression" dxfId="142" priority="7">
      <x:formula>W5="Blocked"</x:formula>
    </x:cfRule>
    <x:cfRule type="expression" dxfId="143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f1771850b6457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Availability and Appointments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APPT-001</x:v>
      </x:c>
      <x:c r="B5" s="46" t="str">
        <x:v>Availability and Appointments</x:v>
      </x:c>
      <x:c r="C5" s="46" t="str">
        <x:v>Availability and Appointments</x:v>
      </x:c>
      <x:c r="D5" s="46" t="str">
        <x:v>Complete the primary Availability and Appointments workflow</x:v>
      </x:c>
      <x:c r="E5" s="46" t="str">
        <x:v>Agent creates availability; customer requests an appointment; agency confirms/completes it.</x:v>
      </x:c>
      <x:c r="F5" s="46" t="str">
        <x:v>Complete the primary Availability and Appointments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Public customer</x:v>
      </x:c>
      <x:c r="K5" s="46" t="str">
        <x:v>Published agency; customer token; Agent A/B across tenants; availability slots; overlapping appointment fixtures.</x:v>
      </x:c>
      <x:c r="L5" s="46" t="str">
        <x:v>Weekday/start/end/active availability; appointment identity, agent/property, starts_at/ends_at, status and notes.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Published agency; customer token; Agent A/B across tenants; availability slots; overlapping appointment fixtures.
2. Sign in/use role: Public customer.
3. Navigate to /availability, /appointments, public customer portal and capture the initial UI/API/database state.
4. Execute: Agent creates availability; customer requests an appointment; agency confirms/completes it.
5. Inspect the network request/response against: CRUD /api/operations/availability/; CRUD /api/operations/appointments/; GET/POST /api/public/agencies/{slug}/appointments/.
6. Refresh/re-query the feature and related modules: Customer authentication, properties/agents, notifications, calendar.
7. Verify affected models (AppointmentAvailability, Appointment, CustomerProfile, Property, AgencyUser, Notification) and all listed side effects.</x:v>
      </x:c>
      <x:c r="O5" s="46" t="str">
        <x:v>Public slots expose eligible agent availability; accepted request is tenant-scoped and notifies the correct agent; lifecycle persists.</x:v>
      </x:c>
      <x:c r="P5" s="46" t="str">
        <x:v>Availability/Appointment + rows; Notification +1 for public request; no property/lead row is automatically required by Appointment model.</x:v>
      </x:c>
      <x:c r="Q5" s="46" t="str">
        <x:v>Use the documented routes: CRUD /api/operations/availability/; CRUD /api/operations/appointments/; GET/POST /api/public/agencies/{slug}/appointments/. Successful create operations return 201, reads/updates/actions 200, and deletes 204 where provided; capture exact endpoint-specific response.</x:v>
      </x:c>
      <x:c r="R5" s="46" t="str">
        <x:v>Start at /availability, /appointments, public customer portal. The visible state must match the saved API response after refresh.</x:v>
      </x:c>
      <x:c r="S5" s="46" t="str">
        <x:v>Agent calendar, customer portal and notifications change.</x:v>
      </x:c>
      <x:c r="T5" s="46" t="str">
        <x:v>Customer authentication, properties/agents, notifications, calendar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APPT-002</x:v>
      </x:c>
      <x:c r="B6" s="47" t="str">
        <x:v>Availability and Appointments</x:v>
      </x:c>
      <x:c r="C6" s="47" t="str">
        <x:v>Availability and Appointments</x:v>
      </x:c>
      <x:c r="D6" s="47" t="str">
        <x:v>Reject invalid or missing Availability and Appointments inputs</x:v>
      </x:c>
      <x:c r="E6" s="47" t="str">
        <x:v>Reject cross-agency agent/property/customer token, invalid/overlapping time, end before start, unavailable slot if enforced, past appointment, duplicate unique availability start.</x:v>
      </x:c>
      <x:c r="F6" s="47" t="str">
        <x:v>Reject invalid or missing Availability and Appointments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Public customer</x:v>
      </x:c>
      <x:c r="K6" s="47" t="str">
        <x:v>Published agency; customer token; Agent A/B across tenants; availability slots; overlapping appointment fixtures.</x:v>
      </x:c>
      <x:c r="L6" s="47" t="str">
        <x:v>Weekday/start/end/active availability; appointment identity, agent/property, starts_at/ends_at, status and notes.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Published agency; customer token; Agent A/B across tenants; availability slots; overlapping appointment fixtures.
2. Sign in/use role: Public customer.
3. Navigate to /availability, /appointments, public customer portal and capture the initial UI/API/database state.
4. Execute: Reject cross-agency agent/property/customer token, invalid/overlapping time, end before start, unavailable slot if enforced, past appointment, duplicate unique availability start.
5. Inspect the network request/response against: CRUD /api/operations/availability/; CRUD /api/operations/appointments/; GET/POST /api/public/agencies/{slug}/appointments/.
6. Refresh/re-query the feature and related modules: Customer authentication, properties/agents, notifications, calendar.
7. Verify affected models (AppointmentAvailability, Appointment, CustomerProfile, Property, AgencyUser, Notification)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Customer authentication, properties/agents, notifications, calendar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APPT-003</x:v>
      </x:c>
      <x:c r="B7" s="47" t="str">
        <x:v>Availability and Appointments</x:v>
      </x:c>
      <x:c r="C7" s="47" t="str">
        <x:v>Availability and Appointments</x:v>
      </x:c>
      <x:c r="D7" s="47" t="str">
        <x:v>Enforce Availability and Appointments role permissions</x:v>
      </x:c>
      <x:c r="E7" s="47" t="str">
        <x:v>Agent manages/sees own availability and appointments; owner/manager tenant-wide; customer only public endpoints with own token.</x:v>
      </x:c>
      <x:c r="F7" s="47" t="str">
        <x:v>Enforce Availability and Appointments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Published agency; customer token; Agent A/B across tenants; availability slots; overlapping appointment fixtures.</x:v>
      </x:c>
      <x:c r="L7" s="47" t="str">
        <x:v>Weekday/start/end/active availability; appointment identity, agent/property, starts_at/ends_at, status and notes.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Published agency; customer token; Agent A/B across tenants; availability slots; overlapping appointment fixtures.
2. Sign in/use role: Exercise every listed role plus an unauthenticated caller.
3. Navigate to /availability, /appointments, public customer portal and capture the initial UI/API/database state.
4. Execute: Agent manages/sees own availability and appointments; owner/manager tenant-wide; customer only public endpoints with own token.
5. Inspect the network request/response against: CRUD /api/operations/availability/; CRUD /api/operations/appointments/; GET/POST /api/public/agencies/{slug}/appointments/.
6. Refresh/re-query the feature and related modules: Customer authentication, properties/agents, notifications, calendar.
7. Verify affected models (AppointmentAvailability, Appointment, CustomerProfile, Property, AgencyUser, Notification)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Customer authentication, properties/agents, notifications, calendar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APPT-004</x:v>
      </x:c>
      <x:c r="B8" s="47" t="str">
        <x:v>Availability and Appointments</x:v>
      </x:c>
      <x:c r="C8" s="47" t="str">
        <x:v>Availability and Appointments</x:v>
      </x:c>
      <x:c r="D8" s="47" t="str">
        <x:v>Prevent cross-tenant access in Availability and Appointments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Availability and Appointments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Published agency; customer token; Agent A/B across tenants; availability slots; overlapping appointment fixtures.</x:v>
      </x:c>
      <x:c r="L8" s="47" t="str">
        <x:v>Weekday/start/end/active availability; appointment identity, agent/property, starts_at/ends_at, status and notes.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Published agency; customer token; Agent A/B across tenants; availability slots; overlapping appointment fixtures.
2. Sign in/use role: Agency A authenticated user and Agency B fixture.
3. Navigate to /availability, /appointments, public customer portal and capture the initial UI/API/database state.
4. Execute: Substitute Agency B object IDs, related IDs, slugs, files and filter parameters into every Agency A list/detail/create/update/delete/action request.
5. Inspect the network request/response against: CRUD /api/operations/availability/; CRUD /api/operations/appointments/; GET/POST /api/public/agencies/{slug}/appointments/.
6. Refresh/re-query the feature and related modules: Customer authentication, properties/agents, notifications, calendar.
7. Verify affected models (AppointmentAvailability, Appointment, CustomerProfile, Property, AgencyUser, Notification)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Customer authentication, properties/agents, notifications, calendar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APPT-005</x:v>
      </x:c>
      <x:c r="B9" s="47" t="str">
        <x:v>Availability and Appointments</x:v>
      </x:c>
      <x:c r="C9" s="47" t="str">
        <x:v>Availability and Appointments</x:v>
      </x:c>
      <x:c r="D9" s="47" t="str">
        <x:v>Verify Availability and Appointments list, search and filter scoping</x:v>
      </x:c>
      <x:c r="E9" s="47" t="str">
        <x:v>Availability and appointment lists are scoped and chronological.</x:v>
      </x:c>
      <x:c r="F9" s="47" t="str">
        <x:v>Verify Availability and Appointments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Public customer</x:v>
      </x:c>
      <x:c r="K9" s="47" t="str">
        <x:v>Published agency; customer token; Agent A/B across tenants; availability slots; overlapping appointment fixtures.</x:v>
      </x:c>
      <x:c r="L9" s="47" t="str">
        <x:v>Weekday/start/end/active availability; appointment identity, agent/property, starts_at/ends_at, status and notes.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Published agency; customer token; Agent A/B across tenants; availability slots; overlapping appointment fixtures.
2. Sign in/use role: Public customer.
3. Navigate to /availability, /appointments, public customer portal and capture the initial UI/API/database state.
4. Execute: Availability and appointment lists are scoped and chronological.
5. Inspect the network request/response against: CRUD /api/operations/availability/; CRUD /api/operations/appointments/; GET/POST /api/public/agencies/{slug}/appointments/.
6. Refresh/re-query the feature and related modules: Customer authentication, properties/agents, notifications, calendar.
7. Verify affected models (AppointmentAvailability, Appointment, CustomerProfile, Property, AgencyUser, Notification)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Customer authentication, properties/agents, notifications, calendar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APPT-006</x:v>
      </x:c>
      <x:c r="B10" s="47" t="str">
        <x:v>Availability and Appointments</x:v>
      </x:c>
      <x:c r="C10" s="47" t="str">
        <x:v>Availability and Appointments</x:v>
      </x:c>
      <x:c r="D10" s="47" t="str">
        <x:v>Test duplicate submission and idempotency for Availability and Appointments</x:v>
      </x:c>
      <x:c r="E10" s="47" t="str">
        <x:v>Double-click/submit identical requests sequentially and concurrently. Current rule: Unique (agent, weekday, start_time) prevents duplicate availability start; appointment double booking prevention is not clearly enforced and requires clarification/testing.</x:v>
      </x:c>
      <x:c r="F10" s="47" t="str">
        <x:v>Test duplicate submission and idempotency for Availability and Appointments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Public customer</x:v>
      </x:c>
      <x:c r="K10" s="47" t="str">
        <x:v>Published agency; customer token; Agent A/B across tenants; availability slots; overlapping appointment fixtures.</x:v>
      </x:c>
      <x:c r="L10" s="47" t="str">
        <x:v>Weekday/start/end/active availability; appointment identity, agent/property, starts_at/ends_at, status and notes.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Published agency; customer token; Agent A/B across tenants; availability slots; overlapping appointment fixtures.
2. Sign in/use role: Public customer.
3. Navigate to /availability, /appointments, public customer portal and capture the initial UI/API/database state.
4. Execute: Double-click/submit identical requests sequentially and concurrently. Current rule: Unique (agent, weekday, start_time) prevents duplicate availability start; appointment double booking prevention is not clearly enforced and requires clarification/testing.
5. Inspect the network request/response against: CRUD /api/operations/availability/; CRUD /api/operations/appointments/; GET/POST /api/public/agencies/{slug}/appointments/.
6. Refresh/re-query the feature and related modules: Customer authentication, properties/agents, notifications, calendar.
7. Verify affected models (AppointmentAvailability, Appointment, CustomerProfile, Property, AgencyUser, Notification)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Customer authentication, properties/agents, notifications, calendar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APPT-007</x:v>
      </x:c>
      <x:c r="B11" s="47" t="str">
        <x:v>Availability and Appointments</x:v>
      </x:c>
      <x:c r="C11" s="47" t="str">
        <x:v>Availability and Appointments</x:v>
      </x:c>
      <x:c r="D11" s="47" t="str">
        <x:v>Verify deletion and dependency behavior for Availability and Appointments</x:v>
      </x:c>
      <x:c r="E11" s="47" t="str">
        <x:v>Delete an unreferenced record, a referenced record, a foreign-tenant record, and an already-deleted ID. Current rule: Availability delete removes only slot definition; Appointment delete requires manager role under base viewset and must not delete customer/property/agent.</x:v>
      </x:c>
      <x:c r="F11" s="47" t="str">
        <x:v>Verify deletion and dependency behavior for Availability and Appointments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Published agency; customer token; Agent A/B across tenants; availability slots; overlapping appointment fixtures.</x:v>
      </x:c>
      <x:c r="L11" s="47" t="str">
        <x:v>Weekday/start/end/active availability; appointment identity, agent/property, starts_at/ends_at, status and notes.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Published agency; customer token; Agent A/B across tenants; availability slots; overlapping appointment fixtures.
2. Sign in/use role: Agency Owner or Agency Manager.
3. Navigate to /availability, /appointments, public customer portal and capture the initial UI/API/database state.
4. Execute: Delete an unreferenced record, a referenced record, a foreign-tenant record, and an already-deleted ID. Current rule: Availability delete removes only slot definition; Appointment delete requires manager role under base viewset and must not delete customer/property/agent.
5. Inspect the network request/response against: CRUD /api/operations/availability/; CRUD /api/operations/appointments/; GET/POST /api/public/agencies/{slug}/appointments/.
6. Refresh/re-query the feature and related modules: Customer authentication, properties/agents, notifications, calendar.
7. Verify affected models (AppointmentAvailability, Appointment, CustomerProfile, Property, AgencyUser, Notification)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Customer authentication, properties/agents, notifications, calendar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APPT-008</x:v>
      </x:c>
      <x:c r="B12" s="47" t="str">
        <x:v>Availability and Appointments</x:v>
      </x:c>
      <x:c r="C12" s="47" t="str">
        <x:v>Availability and Appointments</x:v>
      </x:c>
      <x:c r="D12" s="47" t="str">
        <x:v>Recover cleanly from API/network failure during Availability and Appointments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Availability and Appointments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Public customer</x:v>
      </x:c>
      <x:c r="K12" s="47" t="str">
        <x:v>Published agency; customer token; Agent A/B across tenants; availability slots; overlapping appointment fixtures.</x:v>
      </x:c>
      <x:c r="L12" s="47" t="str">
        <x:v>Weekday/start/end/active availability; appointment identity, agent/property, starts_at/ends_at, status and notes.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Published agency; customer token; Agent A/B across tenants; availability slots; overlapping appointment fixtures.
2. Sign in/use role: Public customer.
3. Navigate to /availability, /appointments, public customer portal and capture the initial UI/API/database state.
4. Execute: Simulate timeout, offline browser, 500 response, expired access token and failed refresh while submitting the primary workflow.
5. Inspect the network request/response against: CRUD /api/operations/availability/; CRUD /api/operations/appointments/; GET/POST /api/public/agencies/{slug}/appointments/.
6. Refresh/re-query the feature and related modules: Customer authentication, properties/agents, notifications, calendar.
7. Verify affected models (AppointmentAvailability, Appointment, CustomerProfile, Property, AgencyUser, Notification)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Customer authentication, properties/agents, notifications, calendar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APPT-009</x:v>
      </x:c>
      <x:c r="B13" s="47" t="str">
        <x:v>Availability and Appointments</x:v>
      </x:c>
      <x:c r="C13" s="47" t="str">
        <x:v>Availability and Appointments</x:v>
      </x:c>
      <x:c r="D13" s="47" t="str">
        <x:v>Public appointment rejects cross-agency agent</x:v>
      </x:c>
      <x:c r="E13" s="47" t="str">
        <x:v>POST Agency A appointment using Agent B ID and/or Property B ID.</x:v>
      </x:c>
      <x:c r="F13" s="47" t="str">
        <x:v>Public appointment rejects cross-agency agent</x:v>
      </x:c>
      <x:c r="G13" s="47" t="str">
        <x:v>Security</x:v>
      </x:c>
      <x:c r="H13" s="53" t="str">
        <x:v>P0</x:v>
      </x:c>
      <x:c r="I13" s="53" t="str">
        <x:v>Critical</x:v>
      </x:c>
      <x:c r="J13" s="47" t="str">
        <x:v>Public customer A</x:v>
      </x:c>
      <x:c r="K13" s="47" t="str">
        <x:v>Published agency; customer token; Agent A/B across tenants; availability slots; overlapping appointment fixtures.</x:v>
      </x:c>
      <x:c r="L13" s="47" t="str">
        <x:v>Weekday/start/end/active availability; appointment identity, agent/property, starts_at/ends_at, status and notes.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Published agency; customer token; Agent A/B across tenants; availability slots; overlapping appointment fixtures.
2. Sign in/use role: Public customer A.
3. Navigate to /availability, /appointments, public customer portal and capture the initial UI/API/database state.
4. Execute: POST Agency A appointment using Agent B ID and/or Property B ID.
5. Inspect the network request/response against: CRUD /api/operations/availability/; CRUD /api/operations/appointments/; GET/POST /api/public/agencies/{slug}/appointments/.
6. Refresh/re-query the feature and related modules: Customer authentication, properties/agents, notifications, calendar.
7. Verify affected models (AppointmentAvailability, Appointment, CustomerProfile, Property, AgencyUser, Notification) and all listed side effects.</x:v>
      </x:c>
      <x:c r="O13" s="47" t="str">
        <x:v>Request is rejected and no cross-tenant relationship is stored.</x:v>
      </x:c>
      <x:c r="P13" s="47" t="str">
        <x:v>No Appointment or Notification rows.</x:v>
      </x:c>
      <x:c r="Q13" s="47" t="str">
        <x:v>POST returns 400/404.</x:v>
      </x:c>
      <x:c r="R13" s="47" t="str">
        <x:v>Portal shows safe validation error.</x:v>
      </x:c>
      <x:c r="S13" s="47" t="str">
        <x:v>Agent B receives nothing.</x:v>
      </x:c>
      <x:c r="T13" s="47" t="str">
        <x:v>Customer authentication, properties/agents, notifications, calendar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APPT-010</x:v>
      </x:c>
      <x:c r="B14" s="47" t="str">
        <x:v>Availability and Appointments</x:v>
      </x:c>
      <x:c r="C14" s="47" t="str">
        <x:v>Availability and Appointments</x:v>
      </x:c>
      <x:c r="D14" s="47" t="str">
        <x:v>Duplicate availability start is constrained</x:v>
      </x:c>
      <x:c r="E14" s="47" t="str">
        <x:v>Send two concurrent creates for same agent/weekday/start_time.</x:v>
      </x:c>
      <x:c r="F14" s="47" t="str">
        <x:v>Duplicate availability start is constrained</x:v>
      </x:c>
      <x:c r="G14" s="47" t="str">
        <x:v>Concurrency</x:v>
      </x:c>
      <x:c r="H14" s="53" t="str">
        <x:v>P1</x:v>
      </x:c>
      <x:c r="I14" s="53" t="str">
        <x:v>High</x:v>
      </x:c>
      <x:c r="J14" s="47" t="str">
        <x:v>Agent</x:v>
      </x:c>
      <x:c r="K14" s="47" t="str">
        <x:v>Published agency; customer token; Agent A/B across tenants; availability slots; overlapping appointment fixtures.</x:v>
      </x:c>
      <x:c r="L14" s="47" t="str">
        <x:v>Weekday/start/end/active availability; appointment identity, agent/property, starts_at/ends_at, status and notes.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Published agency; customer token; Agent A/B across tenants; availability slots; overlapping appointment fixtures.
2. Sign in/use role: Agent.
3. Navigate to /availability, /appointments, public customer portal and capture the initial UI/API/database state.
4. Execute: Send two concurrent creates for same agent/weekday/start_time.
5. Inspect the network request/response against: CRUD /api/operations/availability/; CRUD /api/operations/appointments/; GET/POST /api/public/agencies/{slug}/appointments/.
6. Refresh/re-query the feature and related modules: Customer authentication, properties/agents, notifications, calendar.
7. Verify affected models (AppointmentAvailability, Appointment, CustomerProfile, Property, AgencyUser, Notification) and all listed side effects.</x:v>
      </x:c>
      <x:c r="O14" s="47" t="str">
        <x:v>At most one row commits due to unique constraint; second request returns validation/integrity-safe error.</x:v>
      </x:c>
      <x:c r="P14" s="47" t="str">
        <x:v>Exactly one AppointmentAvailability row.</x:v>
      </x:c>
      <x:c r="Q14" s="47" t="str">
        <x:v>One 201 and one 400/conflict, never 500.</x:v>
      </x:c>
      <x:c r="R14" s="47" t="str">
        <x:v>Schedule displays one slot.</x:v>
      </x:c>
      <x:c r="S14" s="47" t="str">
        <x:v>No duplicate public slot.</x:v>
      </x:c>
      <x:c r="T14" s="47" t="str">
        <x:v>Customer authentication, properties/agents, notifications, calendar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APPT-011</x:v>
      </x:c>
      <x:c r="B15" s="47" t="str">
        <x:v>Availability and Appointments</x:v>
      </x:c>
      <x:c r="C15" s="47" t="str">
        <x:v>Availability and Appointments</x:v>
      </x:c>
      <x:c r="D15" s="47" t="str">
        <x:v>Concurrent appointment requests for same time</x:v>
      </x:c>
      <x:c r="E15" s="47" t="str">
        <x:v>Submit two requests for Agent A at identical starts_at/ends_at.</x:v>
      </x:c>
      <x:c r="F15" s="47" t="str">
        <x:v>Concurrent appointment requests for same time</x:v>
      </x:c>
      <x:c r="G15" s="47" t="str">
        <x:v>Concurrency</x:v>
      </x:c>
      <x:c r="H15" s="53" t="str">
        <x:v>P0</x:v>
      </x:c>
      <x:c r="I15" s="53" t="str">
        <x:v>Critical</x:v>
      </x:c>
      <x:c r="J15" s="47" t="str">
        <x:v>Two customers</x:v>
      </x:c>
      <x:c r="K15" s="47" t="str">
        <x:v>Published agency; customer token; Agent A/B across tenants; availability slots; overlapping appointment fixtures.</x:v>
      </x:c>
      <x:c r="L15" s="47" t="str">
        <x:v>Weekday/start/end/active availability; appointment identity, agent/property, starts_at/ends_at, status and notes.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Published agency; customer token; Agent A/B across tenants; availability slots; overlapping appointment fixtures.
2. Sign in/use role: Two customers.
3. Navigate to /availability, /appointments, public customer portal and capture the initial UI/API/database state.
4. Execute: Submit two requests for Agent A at identical starts_at/ends_at.
5. Inspect the network request/response against: CRUD /api/operations/availability/; CRUD /api/operations/appointments/; GET/POST /api/public/agencies/{slug}/appointments/.
6. Refresh/re-query the feature and related modules: Customer authentication, properties/agents, notifications, calendar.
7. Verify affected models (AppointmentAvailability, Appointment, CustomerProfile, Property, AgencyUser, Notification) and all listed side effects.</x:v>
      </x:c>
      <x:c r="O15" s="47" t="str">
        <x:v>Current model has no visible uniqueness constraint; capture whether both are accepted. Product-level no-double-booking expectation requires clarification.</x:v>
      </x:c>
      <x:c r="P15" s="47" t="str">
        <x:v>Inspect Appointment count and final states.</x:v>
      </x:c>
      <x:c r="Q15" s="47" t="str">
        <x:v>Record actual 201/validation behavior; flag duplicate acceptance as risk, not invented failure.</x:v>
      </x:c>
      <x:c r="R15" s="47" t="str">
        <x:v>Portal must show accurate outcome to each customer.</x:v>
      </x:c>
      <x:c r="S15" s="47" t="str">
        <x:v>Agent notifications must match accepted records.</x:v>
      </x:c>
      <x:c r="T15" s="47" t="str">
        <x:v>Customer authentication, properties/agents, notifications, calendar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APPT-012</x:v>
      </x:c>
      <x:c r="B16" s="48" t="str">
        <x:v>Availability and Appointments</x:v>
      </x:c>
      <x:c r="C16" s="48" t="str">
        <x:v>Availability and Appointments</x:v>
      </x:c>
      <x:c r="D16" s="48" t="str">
        <x:v>Nepal timezone boundary renders consistently</x:v>
      </x:c>
      <x:c r="E16" s="48" t="str">
        <x:v>Book around midnight, DST-irrelevant Nepal offset, month/year boundary and BS/AD display switch.</x:v>
      </x:c>
      <x:c r="F16" s="48" t="str">
        <x:v>Nepal timezone boundary renders consistently</x:v>
      </x:c>
      <x:c r="G16" s="48" t="str">
        <x:v>Boundary</x:v>
      </x:c>
      <x:c r="H16" s="54" t="str">
        <x:v>P1</x:v>
      </x:c>
      <x:c r="I16" s="54" t="str">
        <x:v>High</x:v>
      </x:c>
      <x:c r="J16" s="48" t="str">
        <x:v>Customer/Agent</x:v>
      </x:c>
      <x:c r="K16" s="48" t="str">
        <x:v>Published agency; customer token; Agent A/B across tenants; availability slots; overlapping appointment fixtures.</x:v>
      </x:c>
      <x:c r="L16" s="48" t="str">
        <x:v>Weekday/start/end/active availability; appointment identity, agent/property, starts_at/ends_at, status and notes.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Published agency; customer token; Agent A/B across tenants; availability slots; overlapping appointment fixtures.
2. Sign in/use role: Customer/Agent.
3. Navigate to /availability, /appointments, public customer portal and capture the initial UI/API/database state.
4. Execute: Book around midnight, DST-irrelevant Nepal offset, month/year boundary and BS/AD display switch.
5. Inspect the network request/response against: CRUD /api/operations/availability/; CRUD /api/operations/appointments/; GET/POST /api/public/agencies/{slug}/appointments/.
6. Refresh/re-query the feature and related modules: Customer authentication, properties/agents, notifications, calendar.
7. Verify affected models (AppointmentAvailability, Appointment, CustomerProfile, Property, AgencyUser, Notification) and all listed side effects.</x:v>
      </x:c>
      <x:c r="O16" s="48" t="str">
        <x:v>Stored UTC/API time and Nepal-local UI time represent the same instant without date shift.</x:v>
      </x:c>
      <x:c r="P16" s="48" t="str">
        <x:v>Datetime values persist once; no duplicate appointment.</x:v>
      </x:c>
      <x:c r="Q16" s="48" t="str">
        <x:v>ISO timestamps round-trip correctly.</x:v>
      </x:c>
      <x:c r="R16" s="48" t="str">
        <x:v>Calendar/portal shows Asia/Kathmandu local date/time and selected date mode.</x:v>
      </x:c>
      <x:c r="S16" s="48" t="str">
        <x:v>Reminder scheduling uses the same instant.</x:v>
      </x:c>
      <x:c r="T16" s="48" t="str">
        <x:v>Customer authentication, properties/agents, notifications, calendar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144" priority="1">
      <x:formula>H5="P0"</x:formula>
    </x:cfRule>
    <x:cfRule type="expression" dxfId="145" priority="2">
      <x:formula>H5="P1"</x:formula>
    </x:cfRule>
    <x:cfRule type="expression" dxfId="146" priority="3">
      <x:formula>H5="P2"</x:formula>
    </x:cfRule>
    <x:cfRule type="expression" dxfId="147" priority="4">
      <x:formula>H5="P3"</x:formula>
    </x:cfRule>
  </x:conditionalFormatting>
  <x:conditionalFormatting sqref="W5:W16">
    <x:cfRule type="expression" dxfId="148" priority="5">
      <x:formula>W5="Passed"</x:formula>
    </x:cfRule>
    <x:cfRule type="expression" dxfId="149" priority="6">
      <x:formula>W5="Failed"</x:formula>
    </x:cfRule>
    <x:cfRule type="expression" dxfId="150" priority="7">
      <x:formula>W5="Blocked"</x:formula>
    </x:cfRule>
    <x:cfRule type="expression" dxfId="151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55976ecc174ec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Public Customer Accounts, Saved Properties and Searches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CUST-001</x:v>
      </x:c>
      <x:c r="B5" s="46" t="str">
        <x:v>Public Customer Accounts, Saved Properties and Searches</x:v>
      </x:c>
      <x:c r="C5" s="46" t="str">
        <x:v>Public Customer Accounts, Saved Properties and Searches</x:v>
      </x:c>
      <x:c r="D5" s="46" t="str">
        <x:v>Complete the primary Public Customer Accounts, Saved Properties and Searches workflow</x:v>
      </x:c>
      <x:c r="E5" s="46" t="str">
        <x:v>Register for Agency A, login, save/unsave a property, create a saved search, and request an appointment.</x:v>
      </x:c>
      <x:c r="F5" s="46" t="str">
        <x:v>Complete the primary Public Customer Accounts, Saved Properties and Searches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Public customer account</x:v>
      </x:c>
      <x:c r="K5" s="46" t="str">
        <x:v>Published Agency A/B; customer accounts; public properties; saved-search criteria; browser localStorage; scheduler/email capture.</x:v>
      </x:c>
      <x:c r="L5" s="46" t="str">
        <x:v>Customer email/password/name/phone, tenant token, property ID, filter JSON and alert cadence.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Published Agency A/B; customer accounts; public properties; saved-search criteria; browser localStorage; scheduler/email capture.
2. Sign in/use role: Public customer account.
3. Navigate to Public /agency/:slug/portal and Next.js customer portal and capture the initial UI/API/database state.
4. Execute: Register for Agency A, login, save/unsave a property, create a saved search, and request an appointment.
5. Inspect the network request/response against: POST customer register/login; GET/POST/DELETE saved-properties; GET/POST saved-searches; GET/POST public appointments.
6. Refresh/re-query the feature and related modules: Public website, property eligibility, appointments, saved-search scheduler/email.
7. Verify affected models (CustomerProfile, SavedProperty, SavedSearch, Appointment, Property, Notification/email outputs) and all listed side effects.</x:v>
      </x:c>
      <x:c r="O5" s="46" t="str">
        <x:v>Customer token is agency-scoped; saved items reference only public Agency A inventory; repeated toggles are consistent; alerts use current matches.</x:v>
      </x:c>
      <x:c r="P5" s="46" t="str">
        <x:v>CustomerProfile/session token fields, SavedProperty/SavedSearch/Appointment rows; no Lead automatically unless appointment flow explicitly creates one.</x:v>
      </x:c>
      <x:c r="Q5" s="46" t="str">
        <x:v>Use the documented routes: POST customer register/login; GET/POST/DELETE saved-properties; GET/POST saved-searches; GET/POST public appointments. Successful create operations return 201, reads/updates/actions 200, and deletes 204 where provided; capture exact endpoint-specific response.</x:v>
      </x:c>
      <x:c r="R5" s="46" t="str">
        <x:v>Start at Public /agency/:slug/portal and Next.js customer portal. The visible state must match the saved API response after refresh.</x:v>
      </x:c>
      <x:c r="S5" s="46" t="str">
        <x:v>Storefront heart/portal, search-alert emails and agent appointment notification change.</x:v>
      </x:c>
      <x:c r="T5" s="46" t="str">
        <x:v>Public website, property eligibility, appointments, saved-search scheduler/email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CUST-002</x:v>
      </x:c>
      <x:c r="B6" s="47" t="str">
        <x:v>Public Customer Accounts, Saved Properties and Searches</x:v>
      </x:c>
      <x:c r="C6" s="47" t="str">
        <x:v>Public Customer Accounts, Saved Properties and Searches</x:v>
      </x:c>
      <x:c r="D6" s="47" t="str">
        <x:v>Reject invalid or missing Public Customer Accounts, Saved Properties and Searches inputs</x:v>
      </x:c>
      <x:c r="E6" s="47" t="str">
        <x:v>Reject unpublished agency, bad credentials, weak password, duplicate identity conflicts, wrong-agency token/property, private property, malformed filter JSON and unauthenticated save.</x:v>
      </x:c>
      <x:c r="F6" s="47" t="str">
        <x:v>Reject invalid or missing Public Customer Accounts, Saved Properties and Searches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Public customer account</x:v>
      </x:c>
      <x:c r="K6" s="47" t="str">
        <x:v>Published Agency A/B; customer accounts; public properties; saved-search criteria; browser localStorage; scheduler/email capture.</x:v>
      </x:c>
      <x:c r="L6" s="47" t="str">
        <x:v>Customer email/password/name/phone, tenant token, property ID, filter JSON and alert cadence.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Published Agency A/B; customer accounts; public properties; saved-search criteria; browser localStorage; scheduler/email capture.
2. Sign in/use role: Public customer account.
3. Navigate to Public /agency/:slug/portal and Next.js customer portal and capture the initial UI/API/database state.
4. Execute: Reject unpublished agency, bad credentials, weak password, duplicate identity conflicts, wrong-agency token/property, private property, malformed filter JSON and unauthenticated save.
5. Inspect the network request/response against: POST customer register/login; GET/POST/DELETE saved-properties; GET/POST saved-searches; GET/POST public appointments.
6. Refresh/re-query the feature and related modules: Public website, property eligibility, appointments, saved-search scheduler/email.
7. Verify affected models (CustomerProfile, SavedProperty, SavedSearch, Appointment, Property, Notification/email outputs)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Public website, property eligibility, appointments, saved-search scheduler/email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CUST-003</x:v>
      </x:c>
      <x:c r="B7" s="47" t="str">
        <x:v>Public Customer Accounts, Saved Properties and Searches</x:v>
      </x:c>
      <x:c r="C7" s="47" t="str">
        <x:v>Public Customer Accounts, Saved Properties and Searches</x:v>
      </x:c>
      <x:c r="D7" s="47" t="str">
        <x:v>Enforce Public Customer Accounts, Saved Properties and Searches role permissions</x:v>
      </x:c>
      <x:c r="E7" s="47" t="str">
        <x:v>Customer token grants only that customer/agency portal operations and never agency staff APIs or another customer's data.</x:v>
      </x:c>
      <x:c r="F7" s="47" t="str">
        <x:v>Enforce Public Customer Accounts, Saved Properties and Searches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Published Agency A/B; customer accounts; public properties; saved-search criteria; browser localStorage; scheduler/email capture.</x:v>
      </x:c>
      <x:c r="L7" s="47" t="str">
        <x:v>Customer email/password/name/phone, tenant token, property ID, filter JSON and alert cadence.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Published Agency A/B; customer accounts; public properties; saved-search criteria; browser localStorage; scheduler/email capture.
2. Sign in/use role: Exercise every listed role plus an unauthenticated caller.
3. Navigate to Public /agency/:slug/portal and Next.js customer portal and capture the initial UI/API/database state.
4. Execute: Customer token grants only that customer/agency portal operations and never agency staff APIs or another customer's data.
5. Inspect the network request/response against: POST customer register/login; GET/POST/DELETE saved-properties; GET/POST saved-searches; GET/POST public appointments.
6. Refresh/re-query the feature and related modules: Public website, property eligibility, appointments, saved-search scheduler/email.
7. Verify affected models (CustomerProfile, SavedProperty, SavedSearch, Appointment, Property, Notification/email outputs)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Public website, property eligibility, appointments, saved-search scheduler/email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CUST-004</x:v>
      </x:c>
      <x:c r="B8" s="47" t="str">
        <x:v>Public Customer Accounts, Saved Properties and Searches</x:v>
      </x:c>
      <x:c r="C8" s="47" t="str">
        <x:v>Public Customer Accounts, Saved Properties and Searches</x:v>
      </x:c>
      <x:c r="D8" s="47" t="str">
        <x:v>Prevent cross-tenant access in Public Customer Accounts, Saved Properties and Searches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Public Customer Accounts, Saved Properties and Searches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Published Agency A/B; customer accounts; public properties; saved-search criteria; browser localStorage; scheduler/email capture.</x:v>
      </x:c>
      <x:c r="L8" s="47" t="str">
        <x:v>Customer email/password/name/phone, tenant token, property ID, filter JSON and alert cadence.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Published Agency A/B; customer accounts; public properties; saved-search criteria; browser localStorage; scheduler/email capture.
2. Sign in/use role: Agency A authenticated user and Agency B fixture.
3. Navigate to Public /agency/:slug/portal and Next.js customer portal and capture the initial UI/API/database state.
4. Execute: Substitute Agency B object IDs, related IDs, slugs, files and filter parameters into every Agency A list/detail/create/update/delete/action request.
5. Inspect the network request/response against: POST customer register/login; GET/POST/DELETE saved-properties; GET/POST saved-searches; GET/POST public appointments.
6. Refresh/re-query the feature and related modules: Public website, property eligibility, appointments, saved-search scheduler/email.
7. Verify affected models (CustomerProfile, SavedProperty, SavedSearch, Appointment, Property, Notification/email outputs)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Public website, property eligibility, appointments, saved-search scheduler/email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CUST-005</x:v>
      </x:c>
      <x:c r="B9" s="47" t="str">
        <x:v>Public Customer Accounts, Saved Properties and Searches</x:v>
      </x:c>
      <x:c r="C9" s="47" t="str">
        <x:v>Public Customer Accounts, Saved Properties and Searches</x:v>
      </x:c>
      <x:c r="D9" s="47" t="str">
        <x:v>Verify Public Customer Accounts, Saved Properties and Searches list, search and filter scoping</x:v>
      </x:c>
      <x:c r="E9" s="47" t="str">
        <x:v>Saved lists/searches are owner and tenant scoped; available appointments are public but create uses authenticated customer header.</x:v>
      </x:c>
      <x:c r="F9" s="47" t="str">
        <x:v>Verify Public Customer Accounts, Saved Properties and Searches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Public customer account</x:v>
      </x:c>
      <x:c r="K9" s="47" t="str">
        <x:v>Published Agency A/B; customer accounts; public properties; saved-search criteria; browser localStorage; scheduler/email capture.</x:v>
      </x:c>
      <x:c r="L9" s="47" t="str">
        <x:v>Customer email/password/name/phone, tenant token, property ID, filter JSON and alert cadence.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Published Agency A/B; customer accounts; public properties; saved-search criteria; browser localStorage; scheduler/email capture.
2. Sign in/use role: Public customer account.
3. Navigate to Public /agency/:slug/portal and Next.js customer portal and capture the initial UI/API/database state.
4. Execute: Saved lists/searches are owner and tenant scoped; available appointments are public but create uses authenticated customer header.
5. Inspect the network request/response against: POST customer register/login; GET/POST/DELETE saved-properties; GET/POST saved-searches; GET/POST public appointments.
6. Refresh/re-query the feature and related modules: Public website, property eligibility, appointments, saved-search scheduler/email.
7. Verify affected models (CustomerProfile, SavedProperty, SavedSearch, Appointment, Property, Notification/email outputs)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Public website, property eligibility, appointments, saved-search scheduler/email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CUST-006</x:v>
      </x:c>
      <x:c r="B10" s="47" t="str">
        <x:v>Public Customer Accounts, Saved Properties and Searches</x:v>
      </x:c>
      <x:c r="C10" s="47" t="str">
        <x:v>Public Customer Accounts, Saved Properties and Searches</x:v>
      </x:c>
      <x:c r="D10" s="47" t="str">
        <x:v>Test duplicate submission and idempotency for Public Customer Accounts, Saved Properties and Searches</x:v>
      </x:c>
      <x:c r="E10" s="47" t="str">
        <x:v>Double-click/submit identical requests sequentially and concurrently. Current rule: Unique customer email/tenant and saved property relationship prevent duplicates; toggle intentionally adds/removes; alert command must dedupe by last_sent/match window.</x:v>
      </x:c>
      <x:c r="F10" s="47" t="str">
        <x:v>Test duplicate submission and idempotency for Public Customer Accounts, Saved Properties and Searches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Public customer account</x:v>
      </x:c>
      <x:c r="K10" s="47" t="str">
        <x:v>Published Agency A/B; customer accounts; public properties; saved-search criteria; browser localStorage; scheduler/email capture.</x:v>
      </x:c>
      <x:c r="L10" s="47" t="str">
        <x:v>Customer email/password/name/phone, tenant token, property ID, filter JSON and alert cadence.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Published Agency A/B; customer accounts; public properties; saved-search criteria; browser localStorage; scheduler/email capture.
2. Sign in/use role: Public customer account.
3. Navigate to Public /agency/:slug/portal and Next.js customer portal and capture the initial UI/API/database state.
4. Execute: Double-click/submit identical requests sequentially and concurrently. Current rule: Unique customer email/tenant and saved property relationship prevent duplicates; toggle intentionally adds/removes; alert command must dedupe by last_sent/match window.
5. Inspect the network request/response against: POST customer register/login; GET/POST/DELETE saved-properties; GET/POST saved-searches; GET/POST public appointments.
6. Refresh/re-query the feature and related modules: Public website, property eligibility, appointments, saved-search scheduler/email.
7. Verify affected models (CustomerProfile, SavedProperty, SavedSearch, Appointment, Property, Notification/email outputs)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Public website, property eligibility, appointments, saved-search scheduler/email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CUST-007</x:v>
      </x:c>
      <x:c r="B11" s="47" t="str">
        <x:v>Public Customer Accounts, Saved Properties and Searches</x:v>
      </x:c>
      <x:c r="C11" s="47" t="str">
        <x:v>Public Customer Accounts, Saved Properties and Searches</x:v>
      </x:c>
      <x:c r="D11" s="47" t="str">
        <x:v>Verify deletion and dependency behavior for Public Customer Accounts, Saved Properties and Searches</x:v>
      </x:c>
      <x:c r="E11" s="47" t="str">
        <x:v>Delete an unreferenced record, a referenced record, a foreign-tenant record, and an already-deleted ID. Current rule: Saved-property DELETE/toggle removes only the join row; customer hard-delete API is not exposed; property deletion cascades/cleans saved references according to model.</x:v>
      </x:c>
      <x:c r="F11" s="47" t="str">
        <x:v>Verify deletion and dependency behavior for Public Customer Accounts, Saved Properties and Searches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Published Agency A/B; customer accounts; public properties; saved-search criteria; browser localStorage; scheduler/email capture.</x:v>
      </x:c>
      <x:c r="L11" s="47" t="str">
        <x:v>Customer email/password/name/phone, tenant token, property ID, filter JSON and alert cadence.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Published Agency A/B; customer accounts; public properties; saved-search criteria; browser localStorage; scheduler/email capture.
2. Sign in/use role: Agency Owner or Agency Manager.
3. Navigate to Public /agency/:slug/portal and Next.js customer portal and capture the initial UI/API/database state.
4. Execute: Delete an unreferenced record, a referenced record, a foreign-tenant record, and an already-deleted ID. Current rule: Saved-property DELETE/toggle removes only the join row; customer hard-delete API is not exposed; property deletion cascades/cleans saved references according to model.
5. Inspect the network request/response against: POST customer register/login; GET/POST/DELETE saved-properties; GET/POST saved-searches; GET/POST public appointments.
6. Refresh/re-query the feature and related modules: Public website, property eligibility, appointments, saved-search scheduler/email.
7. Verify affected models (CustomerProfile, SavedProperty, SavedSearch, Appointment, Property, Notification/email outputs)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Public website, property eligibility, appointments, saved-search scheduler/email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CUST-008</x:v>
      </x:c>
      <x:c r="B12" s="47" t="str">
        <x:v>Public Customer Accounts, Saved Properties and Searches</x:v>
      </x:c>
      <x:c r="C12" s="47" t="str">
        <x:v>Public Customer Accounts, Saved Properties and Searches</x:v>
      </x:c>
      <x:c r="D12" s="47" t="str">
        <x:v>Recover cleanly from API/network failure during Public Customer Accounts, Saved Properties and Searches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Public Customer Accounts, Saved Properties and Searches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Public customer account</x:v>
      </x:c>
      <x:c r="K12" s="47" t="str">
        <x:v>Published Agency A/B; customer accounts; public properties; saved-search criteria; browser localStorage; scheduler/email capture.</x:v>
      </x:c>
      <x:c r="L12" s="47" t="str">
        <x:v>Customer email/password/name/phone, tenant token, property ID, filter JSON and alert cadence.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Published Agency A/B; customer accounts; public properties; saved-search criteria; browser localStorage; scheduler/email capture.
2. Sign in/use role: Public customer account.
3. Navigate to Public /agency/:slug/portal and Next.js customer portal and capture the initial UI/API/database state.
4. Execute: Simulate timeout, offline browser, 500 response, expired access token and failed refresh while submitting the primary workflow.
5. Inspect the network request/response against: POST customer register/login; GET/POST/DELETE saved-properties; GET/POST saved-searches; GET/POST public appointments.
6. Refresh/re-query the feature and related modules: Public website, property eligibility, appointments, saved-search scheduler/email.
7. Verify affected models (CustomerProfile, SavedProperty, SavedSearch, Appointment, Property, Notification/email outputs)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Public website, property eligibility, appointments, saved-search scheduler/email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CUST-009</x:v>
      </x:c>
      <x:c r="B13" s="47" t="str">
        <x:v>Public Customer Accounts, Saved Properties and Searches</x:v>
      </x:c>
      <x:c r="C13" s="47" t="str">
        <x:v>Public Customer Accounts, Saved Properties and Searches</x:v>
      </x:c>
      <x:c r="D13" s="47" t="str">
        <x:v>Customer token cannot cross agency</x:v>
      </x:c>
      <x:c r="E13" s="47" t="str">
        <x:v>Use Agency A token against Agency B saved-properties/searches/appointments endpoints.</x:v>
      </x:c>
      <x:c r="F13" s="47" t="str">
        <x:v>Customer token cannot cross agency</x:v>
      </x:c>
      <x:c r="G13" s="47" t="str">
        <x:v>Security</x:v>
      </x:c>
      <x:c r="H13" s="53" t="str">
        <x:v>P0</x:v>
      </x:c>
      <x:c r="I13" s="53" t="str">
        <x:v>Critical</x:v>
      </x:c>
      <x:c r="J13" s="47" t="str">
        <x:v>Customer A</x:v>
      </x:c>
      <x:c r="K13" s="47" t="str">
        <x:v>Published Agency A/B; customer accounts; public properties; saved-search criteria; browser localStorage; scheduler/email capture.</x:v>
      </x:c>
      <x:c r="L13" s="47" t="str">
        <x:v>Customer email/password/name/phone, tenant token, property ID, filter JSON and alert cadence.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Published Agency A/B; customer accounts; public properties; saved-search criteria; browser localStorage; scheduler/email capture.
2. Sign in/use role: Customer A.
3. Navigate to Public /agency/:slug/portal and Next.js customer portal and capture the initial UI/API/database state.
4. Execute: Use Agency A token against Agency B saved-properties/searches/appointments endpoints.
5. Inspect the network request/response against: POST customer register/login; GET/POST/DELETE saved-properties; GET/POST saved-searches; GET/POST public appointments.
6. Refresh/re-query the feature and related modules: Public website, property eligibility, appointments, saved-search scheduler/email.
7. Verify affected models (CustomerProfile, SavedProperty, SavedSearch, Appointment, Property, Notification/email outputs) and all listed side effects.</x:v>
      </x:c>
      <x:c r="O13" s="47" t="str">
        <x:v>Every request is unauthorized/not found and reveals no B data.</x:v>
      </x:c>
      <x:c r="P13" s="47" t="str">
        <x:v>No rows change in either agency.</x:v>
      </x:c>
      <x:c r="Q13" s="47" t="str">
        <x:v>Returns 401/403 according to customer authentication helper.</x:v>
      </x:c>
      <x:c r="R13" s="47" t="str">
        <x:v>Portal clears/rejects mismatched session without showing data.</x:v>
      </x:c>
      <x:c r="S13" s="47" t="str">
        <x:v>No emails/notifications.</x:v>
      </x:c>
      <x:c r="T13" s="47" t="str">
        <x:v>Public website, property eligibility, appointments, saved-search scheduler/email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CUST-010</x:v>
      </x:c>
      <x:c r="B14" s="47" t="str">
        <x:v>Public Customer Accounts, Saved Properties and Searches</x:v>
      </x:c>
      <x:c r="C14" s="47" t="str">
        <x:v>Public Customer Accounts, Saved Properties and Searches</x:v>
      </x:c>
      <x:c r="D14" s="47" t="str">
        <x:v>Saved property toggle is duplicate safe</x:v>
      </x:c>
      <x:c r="E14" s="47" t="str">
        <x:v>Double-click save concurrently, refresh, then unsave twice.</x:v>
      </x:c>
      <x:c r="F14" s="47" t="str">
        <x:v>Saved property toggle is duplicate safe</x:v>
      </x:c>
      <x:c r="G14" s="47" t="str">
        <x:v>Idempotency</x:v>
      </x:c>
      <x:c r="H14" s="53" t="str">
        <x:v>P1</x:v>
      </x:c>
      <x:c r="I14" s="53" t="str">
        <x:v>High</x:v>
      </x:c>
      <x:c r="J14" s="47" t="str">
        <x:v>Customer</x:v>
      </x:c>
      <x:c r="K14" s="47" t="str">
        <x:v>Published Agency A/B; customer accounts; public properties; saved-search criteria; browser localStorage; scheduler/email capture.</x:v>
      </x:c>
      <x:c r="L14" s="47" t="str">
        <x:v>Customer email/password/name/phone, tenant token, property ID, filter JSON and alert cadence.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Published Agency A/B; customer accounts; public properties; saved-search criteria; browser localStorage; scheduler/email capture.
2. Sign in/use role: Customer.
3. Navigate to Public /agency/:slug/portal and Next.js customer portal and capture the initial UI/API/database state.
4. Execute: Double-click save concurrently, refresh, then unsave twice.
5. Inspect the network request/response against: POST customer register/login; GET/POST/DELETE saved-properties; GET/POST saved-searches; GET/POST public appointments.
6. Refresh/re-query the feature and related modules: Public website, property eligibility, appointments, saved-search scheduler/email.
7. Verify affected models (CustomerProfile, SavedProperty, SavedSearch, Appointment, Property, Notification/email outputs) and all listed side effects.</x:v>
      </x:c>
      <x:c r="O14" s="47" t="str">
        <x:v>At most one saved relationship exists; final toggle/removal behavior is deterministic and no server error occurs.</x:v>
      </x:c>
      <x:c r="P14" s="47" t="str">
        <x:v>Unique SavedProperty relation count is 0 or 1 as expected after each phase.</x:v>
      </x:c>
      <x:c r="Q14" s="47" t="str">
        <x:v>POST/DELETE responses match current toggle API and handle repeat safely.</x:v>
      </x:c>
      <x:c r="R14" s="47" t="str">
        <x:v>Heart and portal list converge after refresh.</x:v>
      </x:c>
      <x:c r="S14" s="47" t="str">
        <x:v>No property/lead changes.</x:v>
      </x:c>
      <x:c r="T14" s="47" t="str">
        <x:v>Public website, property eligibility, appointments, saved-search scheduler/email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CUST-011</x:v>
      </x:c>
      <x:c r="B15" s="47" t="str">
        <x:v>Public Customer Accounts, Saved Properties and Searches</x:v>
      </x:c>
      <x:c r="C15" s="47" t="str">
        <x:v>Public Customer Accounts, Saved Properties and Searches</x:v>
      </x:c>
      <x:c r="D15" s="47" t="str">
        <x:v>Unpublished website rejects registration</x:v>
      </x:c>
      <x:c r="E15" s="47" t="str">
        <x:v>POST registration for agency with public website disabled.</x:v>
      </x:c>
      <x:c r="F15" s="47" t="str">
        <x:v>Unpublished website rejects registration</x:v>
      </x:c>
      <x:c r="G15" s="47" t="str">
        <x:v>Security</x:v>
      </x:c>
      <x:c r="H15" s="53" t="str">
        <x:v>P0</x:v>
      </x:c>
      <x:c r="I15" s="53" t="str">
        <x:v>Critical</x:v>
      </x:c>
      <x:c r="J15" s="47" t="str">
        <x:v>Anonymous visitor</x:v>
      </x:c>
      <x:c r="K15" s="47" t="str">
        <x:v>Published Agency A/B; customer accounts; public properties; saved-search criteria; browser localStorage; scheduler/email capture.</x:v>
      </x:c>
      <x:c r="L15" s="47" t="str">
        <x:v>Customer email/password/name/phone, tenant token, property ID, filter JSON and alert cadence.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Published Agency A/B; customer accounts; public properties; saved-search criteria; browser localStorage; scheduler/email capture.
2. Sign in/use role: Anonymous visitor.
3. Navigate to Public /agency/:slug/portal and Next.js customer portal and capture the initial UI/API/database state.
4. Execute: POST registration for agency with public website disabled.
5. Inspect the network request/response against: POST customer register/login; GET/POST/DELETE saved-properties; GET/POST saved-searches; GET/POST public appointments.
6. Refresh/re-query the feature and related modules: Public website, property eligibility, appointments, saved-search scheduler/email.
7. Verify affected models (CustomerProfile, SavedProperty, SavedSearch, Appointment, Property, Notification/email outputs) and all listed side effects.</x:v>
      </x:c>
      <x:c r="O15" s="47" t="str">
        <x:v>Registration is rejected and no customer token is issued.</x:v>
      </x:c>
      <x:c r="P15" s="47" t="str">
        <x:v>No CustomerProfile.</x:v>
      </x:c>
      <x:c r="Q15" s="47" t="str">
        <x:v>POST returns not found/forbidden according to public agency queryset.</x:v>
      </x:c>
      <x:c r="R15" s="47" t="str">
        <x:v>Portal shows unavailable.</x:v>
      </x:c>
      <x:c r="S15" s="47" t="str">
        <x:v>No welcome email/appointment ability.</x:v>
      </x:c>
      <x:c r="T15" s="47" t="str">
        <x:v>Public website, property eligibility, appointments, saved-search scheduler/email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CUST-012</x:v>
      </x:c>
      <x:c r="B16" s="48" t="str">
        <x:v>Public Customer Accounts, Saved Properties and Searches</x:v>
      </x:c>
      <x:c r="C16" s="48" t="str">
        <x:v>Public Customer Accounts, Saved Properties and Searches</x:v>
      </x:c>
      <x:c r="D16" s="48" t="str">
        <x:v>Saved-search alerts are idempotent and public-only</x:v>
      </x:c>
      <x:c r="E16" s="48" t="str">
        <x:v>Create a search that matches one public and one expired/private property; run alerts twice in one cadence window.</x:v>
      </x:c>
      <x:c r="F16" s="48" t="str">
        <x:v>Saved-search alerts are idempotent and public-only</x:v>
      </x:c>
      <x:c r="G16" s="48" t="str">
        <x:v>Background Job</x:v>
      </x:c>
      <x:c r="H16" s="54" t="str">
        <x:v>P0</x:v>
      </x:c>
      <x:c r="I16" s="54" t="str">
        <x:v>Critical</x:v>
      </x:c>
      <x:c r="J16" s="48" t="str">
        <x:v>Scheduler</x:v>
      </x:c>
      <x:c r="K16" s="48" t="str">
        <x:v>Published Agency A/B; customer accounts; public properties; saved-search criteria; browser localStorage; scheduler/email capture.</x:v>
      </x:c>
      <x:c r="L16" s="48" t="str">
        <x:v>Customer email/password/name/phone, tenant token, property ID, filter JSON and alert cadence.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Published Agency A/B; customer accounts; public properties; saved-search criteria; browser localStorage; scheduler/email capture.
2. Sign in/use role: Scheduler.
3. Navigate to Public /agency/:slug/portal and Next.js customer portal and capture the initial UI/API/database state.
4. Execute: Create a search that matches one public and one expired/private property; run alerts twice in one cadence window.
5. Inspect the network request/response against: POST customer register/login; GET/POST/DELETE saved-properties; GET/POST saved-searches; GET/POST public appointments.
6. Refresh/re-query the feature and related modules: Public website, property eligibility, appointments, saved-search scheduler/email.
7. Verify affected models (CustomerProfile, SavedProperty, SavedSearch, Appointment, Property, Notification/email outputs) and all listed side effects.</x:v>
      </x:c>
      <x:c r="O16" s="48" t="str">
        <x:v>Only public match is included and one alert is sent for the window.</x:v>
      </x:c>
      <x:c r="P16" s="48" t="str">
        <x:v>SavedSearch last-sent metadata updates once; no saved property auto-created.</x:v>
      </x:c>
      <x:c r="Q16" s="48" t="str">
        <x:v>Command exits successfully with deduped counts.</x:v>
      </x:c>
      <x:c r="R16" s="48" t="str">
        <x:v>Customer receives one correct localized email.</x:v>
      </x:c>
      <x:c r="S16" s="48" t="str">
        <x:v>Private listing data is never disclosed.</x:v>
      </x:c>
      <x:c r="T16" s="48" t="str">
        <x:v>Public website, property eligibility, appointments, saved-search scheduler/email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152" priority="1">
      <x:formula>H5="P0"</x:formula>
    </x:cfRule>
    <x:cfRule type="expression" dxfId="153" priority="2">
      <x:formula>H5="P1"</x:formula>
    </x:cfRule>
    <x:cfRule type="expression" dxfId="154" priority="3">
      <x:formula>H5="P2"</x:formula>
    </x:cfRule>
    <x:cfRule type="expression" dxfId="155" priority="4">
      <x:formula>H5="P3"</x:formula>
    </x:cfRule>
  </x:conditionalFormatting>
  <x:conditionalFormatting sqref="W5:W16">
    <x:cfRule type="expression" dxfId="156" priority="5">
      <x:formula>W5="Passed"</x:formula>
    </x:cfRule>
    <x:cfRule type="expression" dxfId="157" priority="6">
      <x:formula>W5="Failed"</x:formula>
    </x:cfRule>
    <x:cfRule type="expression" dxfId="158" priority="7">
      <x:formula>W5="Blocked"</x:formula>
    </x:cfRule>
    <x:cfRule type="expression" dxfId="159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dd0192bdd840ac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Website Content, Submissions and Agent Reviews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WEB-001</x:v>
      </x:c>
      <x:c r="B5" s="46" t="str">
        <x:v>Website Content, Submissions and Agent Reviews</x:v>
      </x:c>
      <x:c r="C5" s="46" t="str">
        <x:v>Website Content, Submissions and Agent Reviews</x:v>
      </x:c>
      <x:c r="D5" s="46" t="str">
        <x:v>Complete the primary Website Content, Submissions and Agent Reviews workflow</x:v>
      </x:c>
      <x:c r="E5" s="46" t="str">
        <x:v>Submit a valuation/contact/review, process the submission internally, and approve a valid review.</x:v>
      </x:c>
      <x:c r="F5" s="46" t="str">
        <x:v>Complete the primary Website Content, Submissions and Agent Reviews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Public visitor</x:v>
      </x:c>
      <x:c r="K5" s="46" t="str">
        <x:v>Published agency; public agents; submission kinds valuation/contact/newsletter/career/demo/listing_report; moderation users.</x:v>
      </x:c>
      <x:c r="L5" s="46" t="str">
        <x:v>Form identity/message/property/agent, kind/status, review rating/title/comment, approval fields.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Published agency; public agents; submission kinds valuation/contact/newsletter/career/demo/listing_report; moderation users.
2. Sign in/use role: Public visitor.
3. Navigate to /website-content, /website-submissions, /agent-reviews and public forms and capture the initial UI/API/database state.
4. Execute: Submit a valuation/contact/review, process the submission internally, and approve a valid review.
5. Inspect the network request/response against: POST public submissions/reviews; CRUD /api/operations/website-submissions/ and /agent-reviews/.
6. Refresh/re-query the feature and related modules: Public storefront, leads, agents, notifications, reports.
7. Verify affected models (PublicSubmission, AgentReview, Lead, LeadInteraction, AuditLog) and all listed side effects.</x:v>
      </x:c>
      <x:c r="O5" s="46" t="str">
        <x:v>Submission is tenant-scoped; lead creation/dedup follows kind-specific logic; review is hidden until manager approval.</x:v>
      </x:c>
      <x:c r="P5" s="46" t="str">
        <x:v>PublicSubmission/AgentReview +1; valuation may add/reuse Lead/Interaction; moderation stamps approved_by/approved_at; audit on internal mutation.</x:v>
      </x:c>
      <x:c r="Q5" s="46" t="str">
        <x:v>Use the documented routes: POST public submissions/reviews; CRUD /api/operations/website-submissions/ and /agent-reviews/. Successful create operations return 201, reads/updates/actions 200, and deletes 204 where provided; capture exact endpoint-specific response.</x:v>
      </x:c>
      <x:c r="R5" s="46" t="str">
        <x:v>Start at /website-content, /website-submissions, /agent-reviews and public forms. The visible state must match the saved API response after refresh.</x:v>
      </x:c>
      <x:c r="S5" s="46" t="str">
        <x:v>Lead inbox/dashboard, public agent reputation and submission queues change.</x:v>
      </x:c>
      <x:c r="T5" s="46" t="str">
        <x:v>Public storefront, leads, agents, notifications, reports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WEB-002</x:v>
      </x:c>
      <x:c r="B6" s="47" t="str">
        <x:v>Website Content, Submissions and Agent Reviews</x:v>
      </x:c>
      <x:c r="C6" s="47" t="str">
        <x:v>Website Content, Submissions and Agent Reviews</x:v>
      </x:c>
      <x:c r="D6" s="47" t="str">
        <x:v>Reject invalid or missing Website Content, Submissions and Agent Reviews inputs</x:v>
      </x:c>
      <x:c r="E6" s="47" t="str">
        <x:v>Reject unpublished agency, cross-agency agent/property, invalid kind/status/rating, spam/unsafe text, agent self-approval, and malformed/blank identity per form rules.</x:v>
      </x:c>
      <x:c r="F6" s="47" t="str">
        <x:v>Reject invalid or missing Website Content, Submissions and Agent Reviews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Public visitor</x:v>
      </x:c>
      <x:c r="K6" s="47" t="str">
        <x:v>Published agency; public agents; submission kinds valuation/contact/newsletter/career/demo/listing_report; moderation users.</x:v>
      </x:c>
      <x:c r="L6" s="47" t="str">
        <x:v>Form identity/message/property/agent, kind/status, review rating/title/comment, approval fields.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Published agency; public agents; submission kinds valuation/contact/newsletter/career/demo/listing_report; moderation users.
2. Sign in/use role: Public visitor.
3. Navigate to /website-content, /website-submissions, /agent-reviews and public forms and capture the initial UI/API/database state.
4. Execute: Reject unpublished agency, cross-agency agent/property, invalid kind/status/rating, spam/unsafe text, agent self-approval, and malformed/blank identity per form rules.
5. Inspect the network request/response against: POST public submissions/reviews; CRUD /api/operations/website-submissions/ and /agent-reviews/.
6. Refresh/re-query the feature and related modules: Public storefront, leads, agents, notifications, reports.
7. Verify affected models (PublicSubmission, AgentReview, Lead, LeadInteraction, AuditLog)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Public storefront, leads, agents, notifications, reports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WEB-003</x:v>
      </x:c>
      <x:c r="B7" s="47" t="str">
        <x:v>Website Content, Submissions and Agent Reviews</x:v>
      </x:c>
      <x:c r="C7" s="47" t="str">
        <x:v>Website Content, Submissions and Agent Reviews</x:v>
      </x:c>
      <x:c r="D7" s="47" t="str">
        <x:v>Enforce Website Content, Submissions and Agent Reviews role permissions</x:v>
      </x:c>
      <x:c r="E7" s="47" t="str">
        <x:v>Public creates only; agent sees own assigned submissions/reviews; only owner/manager moderates is_approved.</x:v>
      </x:c>
      <x:c r="F7" s="47" t="str">
        <x:v>Enforce Website Content, Submissions and Agent Reviews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Published agency; public agents; submission kinds valuation/contact/newsletter/career/demo/listing_report; moderation users.</x:v>
      </x:c>
      <x:c r="L7" s="47" t="str">
        <x:v>Form identity/message/property/agent, kind/status, review rating/title/comment, approval fields.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Published agency; public agents; submission kinds valuation/contact/newsletter/career/demo/listing_report; moderation users.
2. Sign in/use role: Exercise every listed role plus an unauthenticated caller.
3. Navigate to /website-content, /website-submissions, /agent-reviews and public forms and capture the initial UI/API/database state.
4. Execute: Public creates only; agent sees own assigned submissions/reviews; only owner/manager moderates is_approved.
5. Inspect the network request/response against: POST public submissions/reviews; CRUD /api/operations/website-submissions/ and /agent-reviews/.
6. Refresh/re-query the feature and related modules: Public storefront, leads, agents, notifications, reports.
7. Verify affected models (PublicSubmission, AgentReview, Lead, LeadInteraction, AuditLog)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Public storefront, leads, agents, notifications, reports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WEB-004</x:v>
      </x:c>
      <x:c r="B8" s="47" t="str">
        <x:v>Website Content, Submissions and Agent Reviews</x:v>
      </x:c>
      <x:c r="C8" s="47" t="str">
        <x:v>Website Content, Submissions and Agent Reviews</x:v>
      </x:c>
      <x:c r="D8" s="47" t="str">
        <x:v>Prevent cross-tenant access in Website Content, Submissions and Agent Reviews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Website Content, Submissions and Agent Reviews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Published agency; public agents; submission kinds valuation/contact/newsletter/career/demo/listing_report; moderation users.</x:v>
      </x:c>
      <x:c r="L8" s="47" t="str">
        <x:v>Form identity/message/property/agent, kind/status, review rating/title/comment, approval fields.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Published agency; public agents; submission kinds valuation/contact/newsletter/career/demo/listing_report; moderation users.
2. Sign in/use role: Agency A authenticated user and Agency B fixture.
3. Navigate to /website-content, /website-submissions, /agent-reviews and public forms and capture the initial UI/API/database state.
4. Execute: Substitute Agency B object IDs, related IDs, slugs, files and filter parameters into every Agency A list/detail/create/update/delete/action request.
5. Inspect the network request/response against: POST public submissions/reviews; CRUD /api/operations/website-submissions/ and /agent-reviews/.
6. Refresh/re-query the feature and related modules: Public storefront, leads, agents, notifications, reports.
7. Verify affected models (PublicSubmission, AgentReview, Lead, LeadInteraction, AuditLog)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Public storefront, leads, agents, notifications, reports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WEB-005</x:v>
      </x:c>
      <x:c r="B9" s="47" t="str">
        <x:v>Website Content, Submissions and Agent Reviews</x:v>
      </x:c>
      <x:c r="C9" s="47" t="str">
        <x:v>Website Content, Submissions and Agent Reviews</x:v>
      </x:c>
      <x:c r="D9" s="47" t="str">
        <x:v>Verify Website Content, Submissions and Agent Reviews list, search and filter scoping</x:v>
      </x:c>
      <x:c r="E9" s="47" t="str">
        <x:v>Internal search/kind/status filters preserve tenant scope; public review list exposes approved only.</x:v>
      </x:c>
      <x:c r="F9" s="47" t="str">
        <x:v>Verify Website Content, Submissions and Agent Reviews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Public visitor</x:v>
      </x:c>
      <x:c r="K9" s="47" t="str">
        <x:v>Published agency; public agents; submission kinds valuation/contact/newsletter/career/demo/listing_report; moderation users.</x:v>
      </x:c>
      <x:c r="L9" s="47" t="str">
        <x:v>Form identity/message/property/agent, kind/status, review rating/title/comment, approval fields.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Published agency; public agents; submission kinds valuation/contact/newsletter/career/demo/listing_report; moderation users.
2. Sign in/use role: Public visitor.
3. Navigate to /website-content, /website-submissions, /agent-reviews and public forms and capture the initial UI/API/database state.
4. Execute: Internal search/kind/status filters preserve tenant scope; public review list exposes approved only.
5. Inspect the network request/response against: POST public submissions/reviews; CRUD /api/operations/website-submissions/ and /agent-reviews/.
6. Refresh/re-query the feature and related modules: Public storefront, leads, agents, notifications, reports.
7. Verify affected models (PublicSubmission, AgentReview, Lead, LeadInteraction, AuditLog)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Public storefront, leads, agents, notifications, reports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WEB-006</x:v>
      </x:c>
      <x:c r="B10" s="47" t="str">
        <x:v>Website Content, Submissions and Agent Reviews</x:v>
      </x:c>
      <x:c r="C10" s="47" t="str">
        <x:v>Website Content, Submissions and Agent Reviews</x:v>
      </x:c>
      <x:c r="D10" s="47" t="str">
        <x:v>Test duplicate submission and idempotency for Website Content, Submissions and Agent Reviews</x:v>
      </x:c>
      <x:c r="E10" s="47" t="str">
        <x:v>Double-click/submit identical requests sequentially and concurrently. Current rule: Newsletter submissions with blank phone must not accidentally merge unrelated leads; public rate throttle limits repeated abuse.</x:v>
      </x:c>
      <x:c r="F10" s="47" t="str">
        <x:v>Test duplicate submission and idempotency for Website Content, Submissions and Agent Reviews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Public visitor</x:v>
      </x:c>
      <x:c r="K10" s="47" t="str">
        <x:v>Published agency; public agents; submission kinds valuation/contact/newsletter/career/demo/listing_report; moderation users.</x:v>
      </x:c>
      <x:c r="L10" s="47" t="str">
        <x:v>Form identity/message/property/agent, kind/status, review rating/title/comment, approval fields.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Published agency; public agents; submission kinds valuation/contact/newsletter/career/demo/listing_report; moderation users.
2. Sign in/use role: Public visitor.
3. Navigate to /website-content, /website-submissions, /agent-reviews and public forms and capture the initial UI/API/database state.
4. Execute: Double-click/submit identical requests sequentially and concurrently. Current rule: Newsletter submissions with blank phone must not accidentally merge unrelated leads; public rate throttle limits repeated abuse.
5. Inspect the network request/response against: POST public submissions/reviews; CRUD /api/operations/website-submissions/ and /agent-reviews/.
6. Refresh/re-query the feature and related modules: Public storefront, leads, agents, notifications, reports.
7. Verify affected models (PublicSubmission, AgentReview, Lead, LeadInteraction, AuditLog)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Public storefront, leads, agents, notifications, reports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WEB-007</x:v>
      </x:c>
      <x:c r="B11" s="47" t="str">
        <x:v>Website Content, Submissions and Agent Reviews</x:v>
      </x:c>
      <x:c r="C11" s="47" t="str">
        <x:v>Website Content, Submissions and Agent Reviews</x:v>
      </x:c>
      <x:c r="D11" s="47" t="str">
        <x:v>Verify deletion and dependency behavior for Website Content, Submissions and Agent Reviews</x:v>
      </x:c>
      <x:c r="E11" s="47" t="str">
        <x:v>Delete an unreferenced record, a referenced record, a foreign-tenant record, and an already-deleted ID. Current rule: Owner/manager delete operations records; public cannot delete; lead remains according to relationship on_delete.</x:v>
      </x:c>
      <x:c r="F11" s="47" t="str">
        <x:v>Verify deletion and dependency behavior for Website Content, Submissions and Agent Reviews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Published agency; public agents; submission kinds valuation/contact/newsletter/career/demo/listing_report; moderation users.</x:v>
      </x:c>
      <x:c r="L11" s="47" t="str">
        <x:v>Form identity/message/property/agent, kind/status, review rating/title/comment, approval fields.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Published agency; public agents; submission kinds valuation/contact/newsletter/career/demo/listing_report; moderation users.
2. Sign in/use role: Agency Owner or Agency Manager.
3. Navigate to /website-content, /website-submissions, /agent-reviews and public forms and capture the initial UI/API/database state.
4. Execute: Delete an unreferenced record, a referenced record, a foreign-tenant record, and an already-deleted ID. Current rule: Owner/manager delete operations records; public cannot delete; lead remains according to relationship on_delete.
5. Inspect the network request/response against: POST public submissions/reviews; CRUD /api/operations/website-submissions/ and /agent-reviews/.
6. Refresh/re-query the feature and related modules: Public storefront, leads, agents, notifications, reports.
7. Verify affected models (PublicSubmission, AgentReview, Lead, LeadInteraction, AuditLog)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Public storefront, leads, agents, notifications, reports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WEB-008</x:v>
      </x:c>
      <x:c r="B12" s="47" t="str">
        <x:v>Website Content, Submissions and Agent Reviews</x:v>
      </x:c>
      <x:c r="C12" s="47" t="str">
        <x:v>Website Content, Submissions and Agent Reviews</x:v>
      </x:c>
      <x:c r="D12" s="47" t="str">
        <x:v>Recover cleanly from API/network failure during Website Content, Submissions and Agent Reviews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Website Content, Submissions and Agent Reviews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Public visitor</x:v>
      </x:c>
      <x:c r="K12" s="47" t="str">
        <x:v>Published agency; public agents; submission kinds valuation/contact/newsletter/career/demo/listing_report; moderation users.</x:v>
      </x:c>
      <x:c r="L12" s="47" t="str">
        <x:v>Form identity/message/property/agent, kind/status, review rating/title/comment, approval fields.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Published agency; public agents; submission kinds valuation/contact/newsletter/career/demo/listing_report; moderation users.
2. Sign in/use role: Public visitor.
3. Navigate to /website-content, /website-submissions, /agent-reviews and public forms and capture the initial UI/API/database state.
4. Execute: Simulate timeout, offline browser, 500 response, expired access token and failed refresh while submitting the primary workflow.
5. Inspect the network request/response against: POST public submissions/reviews; CRUD /api/operations/website-submissions/ and /agent-reviews/.
6. Refresh/re-query the feature and related modules: Public storefront, leads, agents, notifications, reports.
7. Verify affected models (PublicSubmission, AgentReview, Lead, LeadInteraction, AuditLog)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Public storefront, leads, agents, notifications, reports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WEB-009</x:v>
      </x:c>
      <x:c r="B13" s="47" t="str">
        <x:v>Website Content, Submissions and Agent Reviews</x:v>
      </x:c>
      <x:c r="C13" s="47" t="str">
        <x:v>Website Content, Submissions and Agent Reviews</x:v>
      </x:c>
      <x:c r="D13" s="47" t="str">
        <x:v>Valuation submission creates CRM lead</x:v>
      </x:c>
      <x:c r="E13" s="47" t="str">
        <x:v>Submit valid valuation form with contact and property context.</x:v>
      </x:c>
      <x:c r="F13" s="47" t="str">
        <x:v>Valuation submission creates CRM lead</x:v>
      </x:c>
      <x:c r="G13" s="47" t="str">
        <x:v>Integration</x:v>
      </x:c>
      <x:c r="H13" s="53" t="str">
        <x:v>P0</x:v>
      </x:c>
      <x:c r="I13" s="53" t="str">
        <x:v>Critical</x:v>
      </x:c>
      <x:c r="J13" s="47" t="str">
        <x:v>Public visitor</x:v>
      </x:c>
      <x:c r="K13" s="47" t="str">
        <x:v>Published agency; public agents; submission kinds valuation/contact/newsletter/career/demo/listing_report; moderation users.</x:v>
      </x:c>
      <x:c r="L13" s="47" t="str">
        <x:v>Form identity/message/property/agent, kind/status, review rating/title/comment, approval fields.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Published agency; public agents; submission kinds valuation/contact/newsletter/career/demo/listing_report; moderation users.
2. Sign in/use role: Public visitor.
3. Navigate to /website-content, /website-submissions, /agent-reviews and public forms and capture the initial UI/API/database state.
4. Execute: Submit valid valuation form with contact and property context.
5. Inspect the network request/response against: POST public submissions/reviews; CRUD /api/operations/website-submissions/ and /agent-reviews/.
6. Refresh/re-query the feature and related modules: Public storefront, leads, agents, notifications, reports.
7. Verify affected models (PublicSubmission, AgentReview, Lead, LeadInteraction, AuditLog) and all listed side effects.</x:v>
      </x:c>
      <x:c r="O13" s="47" t="str">
        <x:v>Submission and tenant CRM lead/interaction are created or safely reused according to lead service.</x:v>
      </x:c>
      <x:c r="P13" s="47" t="str">
        <x:v>PublicSubmission +1; Lead +1/reused; LeadInteraction +1; link fields set.</x:v>
      </x:c>
      <x:c r="Q13" s="47" t="str">
        <x:v>POST returns created response.</x:v>
      </x:c>
      <x:c r="R13" s="47" t="str">
        <x:v>Public confirmation; manager sees submission and lead.</x:v>
      </x:c>
      <x:c r="S13" s="47" t="str">
        <x:v>Automation assignment/notification may run.</x:v>
      </x:c>
      <x:c r="T13" s="47" t="str">
        <x:v>Public storefront, leads, agents, notifications, reports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WEB-010</x:v>
      </x:c>
      <x:c r="B14" s="47" t="str">
        <x:v>Website Content, Submissions and Agent Reviews</x:v>
      </x:c>
      <x:c r="C14" s="47" t="str">
        <x:v>Website Content, Submissions and Agent Reviews</x:v>
      </x:c>
      <x:c r="D14" s="47" t="str">
        <x:v>Newsletter blank phone does not merge strangers</x:v>
      </x:c>
      <x:c r="E14" s="47" t="str">
        <x:v>Submit two newsletter forms with different emails and blank phone.</x:v>
      </x:c>
      <x:c r="F14" s="47" t="str">
        <x:v>Newsletter blank phone does not merge strangers</x:v>
      </x:c>
      <x:c r="G14" s="47" t="str">
        <x:v>Edge Case</x:v>
      </x:c>
      <x:c r="H14" s="53" t="str">
        <x:v>P0</x:v>
      </x:c>
      <x:c r="I14" s="53" t="str">
        <x:v>Critical</x:v>
      </x:c>
      <x:c r="J14" s="47" t="str">
        <x:v>Two public visitors</x:v>
      </x:c>
      <x:c r="K14" s="47" t="str">
        <x:v>Published agency; public agents; submission kinds valuation/contact/newsletter/career/demo/listing_report; moderation users.</x:v>
      </x:c>
      <x:c r="L14" s="47" t="str">
        <x:v>Form identity/message/property/agent, kind/status, review rating/title/comment, approval fields.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Published agency; public agents; submission kinds valuation/contact/newsletter/career/demo/listing_report; moderation users.
2. Sign in/use role: Two public visitors.
3. Navigate to /website-content, /website-submissions, /agent-reviews and public forms and capture the initial UI/API/database state.
4. Execute: Submit two newsletter forms with different emails and blank phone.
5. Inspect the network request/response against: POST public submissions/reviews; CRUD /api/operations/website-submissions/ and /agent-reviews/.
6. Refresh/re-query the feature and related modules: Public storefront, leads, agents, notifications, reports.
7. Verify affected models (PublicSubmission, AgentReview, Lead, LeadInteraction, AuditLog) and all listed side effects.</x:v>
      </x:c>
      <x:c r="O14" s="47" t="str">
        <x:v>They are not merged solely because normalized blank phone values match.</x:v>
      </x:c>
      <x:c r="P14" s="47" t="str">
        <x:v>Distinct submissions; lead behavior follows kind logic without a false shared lead.</x:v>
      </x:c>
      <x:c r="Q14" s="47" t="str">
        <x:v>Both POSTs succeed independently.</x:v>
      </x:c>
      <x:c r="R14" s="47" t="str">
        <x:v>Each sees confirmation.</x:v>
      </x:c>
      <x:c r="S14" s="47" t="str">
        <x:v>No cross-person timeline contamination.</x:v>
      </x:c>
      <x:c r="T14" s="47" t="str">
        <x:v>Public storefront, leads, agents, notifications, reports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WEB-011</x:v>
      </x:c>
      <x:c r="B15" s="47" t="str">
        <x:v>Website Content, Submissions and Agent Reviews</x:v>
      </x:c>
      <x:c r="C15" s="47" t="str">
        <x:v>Website Content, Submissions and Agent Reviews</x:v>
      </x:c>
      <x:c r="D15" s="47" t="str">
        <x:v>Agent review requires moderation</x:v>
      </x:c>
      <x:c r="E15" s="47" t="str">
        <x:v>Submit review, verify public absence, approve as manager, verify public presence, then unapprove.</x:v>
      </x:c>
      <x:c r="F15" s="47" t="str">
        <x:v>Agent review requires moderation</x:v>
      </x:c>
      <x:c r="G15" s="47" t="str">
        <x:v>State Transition</x:v>
      </x:c>
      <x:c r="H15" s="53" t="str">
        <x:v>P1</x:v>
      </x:c>
      <x:c r="I15" s="53" t="str">
        <x:v>High</x:v>
      </x:c>
      <x:c r="J15" s="47" t="str">
        <x:v>Public visitor/Manager</x:v>
      </x:c>
      <x:c r="K15" s="47" t="str">
        <x:v>Published agency; public agents; submission kinds valuation/contact/newsletter/career/demo/listing_report; moderation users.</x:v>
      </x:c>
      <x:c r="L15" s="47" t="str">
        <x:v>Form identity/message/property/agent, kind/status, review rating/title/comment, approval fields.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Published agency; public agents; submission kinds valuation/contact/newsletter/career/demo/listing_report; moderation users.
2. Sign in/use role: Public visitor/Manager.
3. Navigate to /website-content, /website-submissions, /agent-reviews and public forms and capture the initial UI/API/database state.
4. Execute: Submit review, verify public absence, approve as manager, verify public presence, then unapprove.
5. Inspect the network request/response against: POST public submissions/reviews; CRUD /api/operations/website-submissions/ and /agent-reviews/.
6. Refresh/re-query the feature and related modules: Public storefront, leads, agents, notifications, reports.
7. Verify affected models (PublicSubmission, AgentReview, Lead, LeadInteraction, AuditLog) and all listed side effects.</x:v>
      </x:c>
      <x:c r="O15" s="47" t="str">
        <x:v>Only approved review is publicly visible; approval fields stamp/clear correctly.</x:v>
      </x:c>
      <x:c r="P15" s="47" t="str">
        <x:v>AgentReview updates approved_by/approved_at; audit entries.</x:v>
      </x:c>
      <x:c r="Q15" s="47" t="str">
        <x:v>Public POST created; internal PATCH 200; public agent payload changes.</x:v>
      </x:c>
      <x:c r="R15" s="47" t="str">
        <x:v>Review appears/disappears after moderation.</x:v>
      </x:c>
      <x:c r="S15" s="47" t="str">
        <x:v>Agent rating/reputation summaries update accordingly.</x:v>
      </x:c>
      <x:c r="T15" s="47" t="str">
        <x:v>Public storefront, leads, agents, notifications, reports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WEB-012</x:v>
      </x:c>
      <x:c r="B16" s="48" t="str">
        <x:v>Website Content, Submissions and Agent Reviews</x:v>
      </x:c>
      <x:c r="C16" s="48" t="str">
        <x:v>Website Content, Submissions and Agent Reviews</x:v>
      </x:c>
      <x:c r="D16" s="48" t="str">
        <x:v>Agent cannot approve own review</x:v>
      </x:c>
      <x:c r="E16" s="48" t="str">
        <x:v>PATCH is_approved on a review for themselves.</x:v>
      </x:c>
      <x:c r="F16" s="48" t="str">
        <x:v>Agent cannot approve own review</x:v>
      </x:c>
      <x:c r="G16" s="48" t="str">
        <x:v>Permission</x:v>
      </x:c>
      <x:c r="H16" s="54" t="str">
        <x:v>P0</x:v>
      </x:c>
      <x:c r="I16" s="54" t="str">
        <x:v>Critical</x:v>
      </x:c>
      <x:c r="J16" s="48" t="str">
        <x:v>Agent</x:v>
      </x:c>
      <x:c r="K16" s="48" t="str">
        <x:v>Published agency; public agents; submission kinds valuation/contact/newsletter/career/demo/listing_report; moderation users.</x:v>
      </x:c>
      <x:c r="L16" s="48" t="str">
        <x:v>Form identity/message/property/agent, kind/status, review rating/title/comment, approval fields.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Published agency; public agents; submission kinds valuation/contact/newsletter/career/demo/listing_report; moderation users.
2. Sign in/use role: Agent.
3. Navigate to /website-content, /website-submissions, /agent-reviews and public forms and capture the initial UI/API/database state.
4. Execute: PATCH is_approved on a review for themselves.
5. Inspect the network request/response against: POST public submissions/reviews; CRUD /api/operations/website-submissions/ and /agent-reviews/.
6. Refresh/re-query the feature and related modules: Public storefront, leads, agents, notifications, reports.
7. Verify affected models (PublicSubmission, AgentReview, Lead, LeadInteraction, AuditLog) and all listed side effects.</x:v>
      </x:c>
      <x:c r="O16" s="48" t="str">
        <x:v>Request is forbidden by manager-role check.</x:v>
      </x:c>
      <x:c r="P16" s="48" t="str">
        <x:v>Approval fields unchanged; no audit update.</x:v>
      </x:c>
      <x:c r="Q16" s="48" t="str">
        <x:v>PATCH returns 403.</x:v>
      </x:c>
      <x:c r="R16" s="48" t="str">
        <x:v>No moderation control; direct request error.</x:v>
      </x:c>
      <x:c r="S16" s="48" t="str">
        <x:v>Public visibility unchanged.</x:v>
      </x:c>
      <x:c r="T16" s="48" t="str">
        <x:v>Public storefront, leads, agents, notifications, reports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160" priority="1">
      <x:formula>H5="P0"</x:formula>
    </x:cfRule>
    <x:cfRule type="expression" dxfId="161" priority="2">
      <x:formula>H5="P1"</x:formula>
    </x:cfRule>
    <x:cfRule type="expression" dxfId="162" priority="3">
      <x:formula>H5="P2"</x:formula>
    </x:cfRule>
    <x:cfRule type="expression" dxfId="163" priority="4">
      <x:formula>H5="P3"</x:formula>
    </x:cfRule>
  </x:conditionalFormatting>
  <x:conditionalFormatting sqref="W5:W16">
    <x:cfRule type="expression" dxfId="164" priority="5">
      <x:formula>W5="Passed"</x:formula>
    </x:cfRule>
    <x:cfRule type="expression" dxfId="165" priority="6">
      <x:formula>W5="Failed"</x:formula>
    </x:cfRule>
    <x:cfRule type="expression" dxfId="166" priority="7">
      <x:formula>W5="Blocked"</x:formula>
    </x:cfRule>
    <x:cfRule type="expression" dxfId="167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3b417f0b6c402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Meta Connections and Social Publishing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13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SOC-001</x:v>
      </x:c>
      <x:c r="B5" s="46" t="str">
        <x:v>Meta Connections and Social Publishing</x:v>
      </x:c>
      <x:c r="C5" s="46" t="str">
        <x:v>Meta Connections and Social Publishing</x:v>
      </x:c>
      <x:c r="D5" s="46" t="str">
        <x:v>Complete the primary Meta Connections and Social Publishing workflow</x:v>
      </x:c>
      <x:c r="E5" s="46" t="str">
        <x:v>Connect Meta accounts, create a Facebook/Instagram draft, publish/schedule, retry partial failure, then edit/delete supported content.</x:v>
      </x:c>
      <x:c r="F5" s="46" t="str">
        <x:v>Complete the primary Meta Connections and Social Publishing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Meta app credentials; mock Graph API; Facebook Page and Instagram Business account; HTTPS-public media; scheduled times.</x:v>
      </x:c>
      <x:c r="L5" s="46" t="str">
        <x:v>Caption, target_platforms list, account IDs, media URL/file, draft/scheduled/published/partial/failed, OAuth code/state.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Meta app credentials; mock Graph API; Facebook Page and Instagram Business account; HTTPS-public media; scheduled times.
2. Sign in/use role: Agency Owner.
3. Navigate to /social-media and distribution social-draft handoff and capture the initial UI/API/database state.
4. Execute: Connect Meta accounts, create a Facebook/Instagram draft, publish/schedule, retry partial failure, then edit/delete supported content.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5" s="46" t="str">
        <x:v>Accounts are tenant-scoped; platform targets dedupe; per-target results drive post state; retries target only failed destinations.</x:v>
      </x:c>
      <x:c r="P5" s="46" t="str">
        <x:v>SocialAccount/Post/Target state updates; provider IDs/errors stored; local caption updates only after supported remote success.</x:v>
      </x:c>
      <x:c r="Q5" s="46" t="str">
        <x:v>Use the documented routes: CRUD /api/social-posts/posts/; POST publish; OAuth start/callback; GET accounts; POST/DELETE disconnect action. Successful create operations return 201, reads/updates/actions 200, and deletes 204 where provided; capture exact endpoint-specific response.</x:v>
      </x:c>
      <x:c r="R5" s="46" t="str">
        <x:v>Start at /social-media and distribution social-draft handoff. The visible state must match the saved API response after refresh.</x:v>
      </x:c>
      <x:c r="S5" s="46" t="str">
        <x:v>Meta content changes, distribution campaign tracking and scheduler status change.</x:v>
      </x:c>
      <x:c r="T5" s="46" t="str">
        <x:v>Distribution toolkit, property media, scheduler, Meta Graph API, public media origin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SOC-002</x:v>
      </x:c>
      <x:c r="B6" s="47" t="str">
        <x:v>Meta Connections and Social Publishing</x:v>
      </x:c>
      <x:c r="C6" s="47" t="str">
        <x:v>Meta Connections and Social Publishing</x:v>
      </x:c>
      <x:c r="D6" s="47" t="str">
        <x:v>Reject invalid or missing Meta Connections and Social Publishing inputs</x:v>
      </x:c>
      <x:c r="E6" s="47" t="str">
        <x:v>Reject invalid OAuth state/code, another tenant's account, malformed target list, unsupported Instagram edit, non-HTTPS media, timeout/rate/auth failures.</x:v>
      </x:c>
      <x:c r="F6" s="47" t="str">
        <x:v>Reject invalid or missing Meta Connections and Social Publishing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Meta app credentials; mock Graph API; Facebook Page and Instagram Business account; HTTPS-public media; scheduled times.</x:v>
      </x:c>
      <x:c r="L6" s="47" t="str">
        <x:v>Caption, target_platforms list, account IDs, media URL/file, draft/scheduled/published/partial/failed, OAuth code/state.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Meta app credentials; mock Graph API; Facebook Page and Instagram Business account; HTTPS-public media; scheduled times.
2. Sign in/use role: Agency Owner.
3. Navigate to /social-media and distribution social-draft handoff and capture the initial UI/API/database state.
4. Execute: Reject invalid OAuth state/code, another tenant's account, malformed target list, unsupported Instagram edit, non-HTTPS media, timeout/rate/auth failures.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Distribution toolkit, property media, scheduler, Meta Graph API, public media origin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SOC-003</x:v>
      </x:c>
      <x:c r="B7" s="47" t="str">
        <x:v>Meta Connections and Social Publishing</x:v>
      </x:c>
      <x:c r="C7" s="47" t="str">
        <x:v>Meta Connections and Social Publishing</x:v>
      </x:c>
      <x:c r="D7" s="47" t="str">
        <x:v>Enforce Meta Connections and Social Publishing role permissions</x:v>
      </x:c>
      <x:c r="E7" s="47" t="str">
        <x:v>Only current agency accounts/posts are selectable; direct cross-tenant IDs are rejected.</x:v>
      </x:c>
      <x:c r="F7" s="47" t="str">
        <x:v>Enforce Meta Connections and Social Publishing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Meta app credentials; mock Graph API; Facebook Page and Instagram Business account; HTTPS-public media; scheduled times.</x:v>
      </x:c>
      <x:c r="L7" s="47" t="str">
        <x:v>Caption, target_platforms list, account IDs, media URL/file, draft/scheduled/published/partial/failed, OAuth code/state.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Meta app credentials; mock Graph API; Facebook Page and Instagram Business account; HTTPS-public media; scheduled times.
2. Sign in/use role: Exercise every listed role plus an unauthenticated caller.
3. Navigate to /social-media and distribution social-draft handoff and capture the initial UI/API/database state.
4. Execute: Only current agency accounts/posts are selectable; direct cross-tenant IDs are rejected.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Distribution toolkit, property media, scheduler, Meta Graph API, public media origin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SOC-004</x:v>
      </x:c>
      <x:c r="B8" s="47" t="str">
        <x:v>Meta Connections and Social Publishing</x:v>
      </x:c>
      <x:c r="C8" s="47" t="str">
        <x:v>Meta Connections and Social Publishing</x:v>
      </x:c>
      <x:c r="D8" s="47" t="str">
        <x:v>Prevent cross-tenant access in Meta Connections and Social Publishing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Meta Connections and Social Publishing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Meta app credentials; mock Graph API; Facebook Page and Instagram Business account; HTTPS-public media; scheduled times.</x:v>
      </x:c>
      <x:c r="L8" s="47" t="str">
        <x:v>Caption, target_platforms list, account IDs, media URL/file, draft/scheduled/published/partial/failed, OAuth code/state.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Meta app credentials; mock Graph API; Facebook Page and Instagram Business account; HTTPS-public media; scheduled times.
2. Sign in/use role: Agency A authenticated user and Agency B fixture.
3. Navigate to /social-media and distribution social-draft handoff and capture the initial UI/API/database state.
4. Execute: Substitute Agency B object IDs, related IDs, slugs, files and filter parameters into every Agency A list/detail/create/update/delete/action request.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Distribution toolkit, property media, scheduler, Meta Graph API, public media origin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SOC-005</x:v>
      </x:c>
      <x:c r="B9" s="47" t="str">
        <x:v>Meta Connections and Social Publishing</x:v>
      </x:c>
      <x:c r="C9" s="47" t="str">
        <x:v>Meta Connections and Social Publishing</x:v>
      </x:c>
      <x:c r="D9" s="47" t="str">
        <x:v>Verify Meta Connections and Social Publishing list, search and filter scoping</x:v>
      </x:c>
      <x:c r="E9" s="47" t="str">
        <x:v>Post/account lists and status filters remain tenant scoped.</x:v>
      </x:c>
      <x:c r="F9" s="47" t="str">
        <x:v>Verify Meta Connections and Social Publishing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Meta app credentials; mock Graph API; Facebook Page and Instagram Business account; HTTPS-public media; scheduled times.</x:v>
      </x:c>
      <x:c r="L9" s="47" t="str">
        <x:v>Caption, target_platforms list, account IDs, media URL/file, draft/scheduled/published/partial/failed, OAuth code/state.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Meta app credentials; mock Graph API; Facebook Page and Instagram Business account; HTTPS-public media; scheduled times.
2. Sign in/use role: Agency Owner.
3. Navigate to /social-media and distribution social-draft handoff and capture the initial UI/API/database state.
4. Execute: Post/account lists and status filters remain tenant scoped.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Distribution toolkit, property media, scheduler, Meta Graph API, public media origin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SOC-006</x:v>
      </x:c>
      <x:c r="B10" s="47" t="str">
        <x:v>Meta Connections and Social Publishing</x:v>
      </x:c>
      <x:c r="C10" s="47" t="str">
        <x:v>Meta Connections and Social Publishing</x:v>
      </x:c>
      <x:c r="D10" s="47" t="str">
        <x:v>Test duplicate submission and idempotency for Meta Connections and Social Publishing</x:v>
      </x:c>
      <x:c r="E10" s="47" t="str">
        <x:v>Double-click/submit identical requests sequentially and concurrently. Current rule: Publish retries skip already successful targets; webhook/OAuth callback state must be replay-safe; repeated manual publish must not duplicate successful remote posts.</x:v>
      </x:c>
      <x:c r="F10" s="47" t="str">
        <x:v>Test duplicate submission and idempotency for Meta Connections and Social Publishing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Meta app credentials; mock Graph API; Facebook Page and Instagram Business account; HTTPS-public media; scheduled times.</x:v>
      </x:c>
      <x:c r="L10" s="47" t="str">
        <x:v>Caption, target_platforms list, account IDs, media URL/file, draft/scheduled/published/partial/failed, OAuth code/state.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Meta app credentials; mock Graph API; Facebook Page and Instagram Business account; HTTPS-public media; scheduled times.
2. Sign in/use role: Agency Owner.
3. Navigate to /social-media and distribution social-draft handoff and capture the initial UI/API/database state.
4. Execute: Double-click/submit identical requests sequentially and concurrently. Current rule: Publish retries skip already successful targets; webhook/OAuth callback state must be replay-safe; repeated manual publish must not duplicate successful remote posts.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Distribution toolkit, property media, scheduler, Meta Graph API, public media origin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SOC-007</x:v>
      </x:c>
      <x:c r="B11" s="47" t="str">
        <x:v>Meta Connections and Social Publishing</x:v>
      </x:c>
      <x:c r="C11" s="47" t="str">
        <x:v>Meta Connections and Social Publishing</x:v>
      </x:c>
      <x:c r="D11" s="47" t="str">
        <x:v>Verify deletion and dependency behavior for Meta Connections and Social Publishing</x:v>
      </x:c>
      <x:c r="E11" s="47" t="str">
        <x:v>Delete an unreferenced record, a referenced record, a foreign-tenant record, and an already-deleted ID. Current rule: Disconnect marks/removes connection as implemented; delete published remote media before local row and keep local post when provider deletion fails.</x:v>
      </x:c>
      <x:c r="F11" s="47" t="str">
        <x:v>Verify deletion and dependency behavior for Meta Connections and Social Publishing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Meta app credentials; mock Graph API; Facebook Page and Instagram Business account; HTTPS-public media; scheduled times.</x:v>
      </x:c>
      <x:c r="L11" s="47" t="str">
        <x:v>Caption, target_platforms list, account IDs, media URL/file, draft/scheduled/published/partial/failed, OAuth code/state.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Meta app credentials; mock Graph API; Facebook Page and Instagram Business account; HTTPS-public media; scheduled times.
2. Sign in/use role: Agency Owner or Agency Manager.
3. Navigate to /social-media and distribution social-draft handoff and capture the initial UI/API/database state.
4. Execute: Delete an unreferenced record, a referenced record, a foreign-tenant record, and an already-deleted ID. Current rule: Disconnect marks/removes connection as implemented; delete published remote media before local row and keep local post when provider deletion fails.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Distribution toolkit, property media, scheduler, Meta Graph API, public media origin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SOC-008</x:v>
      </x:c>
      <x:c r="B12" s="47" t="str">
        <x:v>Meta Connections and Social Publishing</x:v>
      </x:c>
      <x:c r="C12" s="47" t="str">
        <x:v>Meta Connections and Social Publishing</x:v>
      </x:c>
      <x:c r="D12" s="47" t="str">
        <x:v>Recover cleanly from API/network failure during Meta Connections and Social Publishing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Meta Connections and Social Publishing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Meta app credentials; mock Graph API; Facebook Page and Instagram Business account; HTTPS-public media; scheduled times.</x:v>
      </x:c>
      <x:c r="L12" s="47" t="str">
        <x:v>Caption, target_platforms list, account IDs, media URL/file, draft/scheduled/published/partial/failed, OAuth code/state.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Meta app credentials; mock Graph API; Facebook Page and Instagram Business account; HTTPS-public media; scheduled times.
2. Sign in/use role: Agency Owner.
3. Navigate to /social-media and distribution social-draft handoff and capture the initial UI/API/database state.
4. Execute: Simulate timeout, offline browser, 500 response, expired access token and failed refresh while submitting the primary workflow.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Distribution toolkit, property media, scheduler, Meta Graph API, public media origin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SOC-009</x:v>
      </x:c>
      <x:c r="B13" s="47" t="str">
        <x:v>Meta Connections and Social Publishing</x:v>
      </x:c>
      <x:c r="C13" s="47" t="str">
        <x:v>Meta Connections and Social Publishing</x:v>
      </x:c>
      <x:c r="D13" s="47" t="str">
        <x:v>Partial failure retries only failed target</x:v>
      </x:c>
      <x:c r="E13" s="47" t="str">
        <x:v>Publish to Facebook and Instagram with Instagram mocked to fail, then recover and publish again.</x:v>
      </x:c>
      <x:c r="F13" s="47" t="str">
        <x:v>Partial failure retries only failed target</x:v>
      </x:c>
      <x:c r="G13" s="47" t="str">
        <x:v>Recovery</x:v>
      </x:c>
      <x:c r="H13" s="53" t="str">
        <x:v>P0</x:v>
      </x:c>
      <x:c r="I13" s="53" t="str">
        <x:v>Critical</x:v>
      </x:c>
      <x:c r="J13" s="47" t="str">
        <x:v>Agency user</x:v>
      </x:c>
      <x:c r="K13" s="47" t="str">
        <x:v>Meta app credentials; mock Graph API; Facebook Page and Instagram Business account; HTTPS-public media; scheduled times.</x:v>
      </x:c>
      <x:c r="L13" s="47" t="str">
        <x:v>Caption, target_platforms list, account IDs, media URL/file, draft/scheduled/published/partial/failed, OAuth code/state.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Meta app credentials; mock Graph API; Facebook Page and Instagram Business account; HTTPS-public media; scheduled times.
2. Sign in/use role: Agency user.
3. Navigate to /social-media and distribution social-draft handoff and capture the initial UI/API/database state.
4. Execute: Publish to Facebook and Instagram with Instagram mocked to fail, then recover and publish again.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13" s="47" t="str">
        <x:v>First state is partial; retry does not duplicate Facebook and publishes only failed Instagram target.</x:v>
      </x:c>
      <x:c r="P13" s="47" t="str">
        <x:v>Target states/provider IDs persist independently; final post becomes published.</x:v>
      </x:c>
      <x:c r="Q13" s="47" t="str">
        <x:v>Publish returns partial then success/actionable target results.</x:v>
      </x:c>
      <x:c r="R13" s="47" t="str">
        <x:v>Per-platform badges/errors update accurately.</x:v>
      </x:c>
      <x:c r="S13" s="47" t="str">
        <x:v>Exactly one remote post per platform.</x:v>
      </x:c>
      <x:c r="T13" s="47" t="str">
        <x:v>Distribution toolkit, property media, scheduler, Meta Graph API, public media origin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Maybe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SOC-010</x:v>
      </x:c>
      <x:c r="B14" s="47" t="str">
        <x:v>Meta Connections and Social Publishing</x:v>
      </x:c>
      <x:c r="C14" s="47" t="str">
        <x:v>Meta Connections and Social Publishing</x:v>
      </x:c>
      <x:c r="D14" s="47" t="str">
        <x:v>Another agency social account cannot be selected</x:v>
      </x:c>
      <x:c r="E14" s="47" t="str">
        <x:v>Create/update/publish using Agency B SocialAccount ID.</x:v>
      </x:c>
      <x:c r="F14" s="47" t="str">
        <x:v>Another agency social account cannot be selected</x:v>
      </x:c>
      <x:c r="G14" s="47" t="str">
        <x:v>Security</x:v>
      </x:c>
      <x:c r="H14" s="53" t="str">
        <x:v>P0</x:v>
      </x:c>
      <x:c r="I14" s="53" t="str">
        <x:v>Critical</x:v>
      </x:c>
      <x:c r="J14" s="47" t="str">
        <x:v>Agency A user</x:v>
      </x:c>
      <x:c r="K14" s="47" t="str">
        <x:v>Meta app credentials; mock Graph API; Facebook Page and Instagram Business account; HTTPS-public media; scheduled times.</x:v>
      </x:c>
      <x:c r="L14" s="47" t="str">
        <x:v>Caption, target_platforms list, account IDs, media URL/file, draft/scheduled/published/partial/failed, OAuth code/state.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Meta app credentials; mock Graph API; Facebook Page and Instagram Business account; HTTPS-public media; scheduled times.
2. Sign in/use role: Agency A user.
3. Navigate to /social-media and distribution social-draft handoff and capture the initial UI/API/database state.
4. Execute: Create/update/publish using Agency B SocialAccount ID.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14" s="47" t="str">
        <x:v>Serializer/view rejects account and no provider call occurs.</x:v>
      </x:c>
      <x:c r="P14" s="47" t="str">
        <x:v>No SocialPost/Target mutation referencing B.</x:v>
      </x:c>
      <x:c r="Q14" s="47" t="str">
        <x:v>POST/PATCH returns 400/404.</x:v>
      </x:c>
      <x:c r="R14" s="47" t="str">
        <x:v>B account is absent from selector; tampered request errors.</x:v>
      </x:c>
      <x:c r="S14" s="47" t="str">
        <x:v>No external Meta side effect.</x:v>
      </x:c>
      <x:c r="T14" s="47" t="str">
        <x:v>Distribution toolkit, property media, scheduler, Meta Graph API, public media origin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SOC-011</x:v>
      </x:c>
      <x:c r="B15" s="47" t="str">
        <x:v>Meta Connections and Social Publishing</x:v>
      </x:c>
      <x:c r="C15" s="47" t="str">
        <x:v>Meta Connections and Social Publishing</x:v>
      </x:c>
      <x:c r="D15" s="47" t="str">
        <x:v>Instagram requires HTTPS public media</x:v>
      </x:c>
      <x:c r="E15" s="47" t="str">
        <x:v>Publish Instagram target with localhost/http/private media URL.</x:v>
      </x:c>
      <x:c r="F15" s="47" t="str">
        <x:v>Instagram requires HTTPS public media</x:v>
      </x:c>
      <x:c r="G15" s="47" t="str">
        <x:v>Validation</x:v>
      </x:c>
      <x:c r="H15" s="53" t="str">
        <x:v>P0</x:v>
      </x:c>
      <x:c r="I15" s="53" t="str">
        <x:v>Critical</x:v>
      </x:c>
      <x:c r="J15" s="47" t="str">
        <x:v>Agency user</x:v>
      </x:c>
      <x:c r="K15" s="47" t="str">
        <x:v>Meta app credentials; mock Graph API; Facebook Page and Instagram Business account; HTTPS-public media; scheduled times.</x:v>
      </x:c>
      <x:c r="L15" s="47" t="str">
        <x:v>Caption, target_platforms list, account IDs, media URL/file, draft/scheduled/published/partial/failed, OAuth code/state.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Meta app credentials; mock Graph API; Facebook Page and Instagram Business account; HTTPS-public media; scheduled times.
2. Sign in/use role: Agency user.
3. Navigate to /social-media and distribution social-draft handoff and capture the initial UI/API/database state.
4. Execute: Publish Instagram target with localhost/http/private media URL.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15" s="47" t="str">
        <x:v>Publish fails with actionable public-origin requirement and remains retryable.</x:v>
      </x:c>
      <x:c r="P15" s="47" t="str">
        <x:v>Target failed with error; no external_post_id.</x:v>
      </x:c>
      <x:c r="Q15" s="47" t="str">
        <x:v>Publish response reports target failure without server crash.</x:v>
      </x:c>
      <x:c r="R15" s="47" t="str">
        <x:v>UI explains HTTPS/public requirement.</x:v>
      </x:c>
      <x:c r="S15" s="47" t="str">
        <x:v>Facebook target may still succeed, yielding partial state.</x:v>
      </x:c>
      <x:c r="T15" s="47" t="str">
        <x:v>Distribution toolkit, property media, scheduler, Meta Graph API, public media origin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0" t="str">
        <x:v>SOC-012</x:v>
      </x:c>
      <x:c r="B16" s="47" t="str">
        <x:v>Meta Connections and Social Publishing</x:v>
      </x:c>
      <x:c r="C16" s="47" t="str">
        <x:v>Meta Connections and Social Publishing</x:v>
      </x:c>
      <x:c r="D16" s="47" t="str">
        <x:v>Published Instagram edit is rejected without local drift</x:v>
      </x:c>
      <x:c r="E16" s="47" t="str">
        <x:v>Try changing caption or replacing image on a published Instagram target.</x:v>
      </x:c>
      <x:c r="F16" s="47" t="str">
        <x:v>Published Instagram edit is rejected without local drift</x:v>
      </x:c>
      <x:c r="G16" s="47" t="str">
        <x:v>External Integration</x:v>
      </x:c>
      <x:c r="H16" s="53" t="str">
        <x:v>P0</x:v>
      </x:c>
      <x:c r="I16" s="53" t="str">
        <x:v>Critical</x:v>
      </x:c>
      <x:c r="J16" s="47" t="str">
        <x:v>Agency user</x:v>
      </x:c>
      <x:c r="K16" s="47" t="str">
        <x:v>Meta app credentials; mock Graph API; Facebook Page and Instagram Business account; HTTPS-public media; scheduled times.</x:v>
      </x:c>
      <x:c r="L16" s="47" t="str">
        <x:v>Caption, target_platforms list, account IDs, media URL/file, draft/scheduled/published/partial/failed, OAuth code/state.</x:v>
      </x:c>
      <x:c r="M1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7" t="str">
        <x:v>1. Prepare: Meta app credentials; mock Graph API; Facebook Page and Instagram Business account; HTTPS-public media; scheduled times.
2. Sign in/use role: Agency user.
3. Navigate to /social-media and distribution social-draft handoff and capture the initial UI/API/database state.
4. Execute: Try changing caption or replacing image on a published Instagram target.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16" s="47" t="str">
        <x:v>Unsupported remote edit is rejected and local caption/media remain unchanged.</x:v>
      </x:c>
      <x:c r="P16" s="47" t="str">
        <x:v>SocialPost and target unchanged.</x:v>
      </x:c>
      <x:c r="Q16" s="47" t="str">
        <x:v>PATCH returns validation error.</x:v>
      </x:c>
      <x:c r="R16" s="47" t="str">
        <x:v>Editor keeps server state and explains limitation.</x:v>
      </x:c>
      <x:c r="S16" s="47" t="str">
        <x:v>No Meta API mutation.</x:v>
      </x:c>
      <x:c r="T16" s="47" t="str">
        <x:v>Distribution toolkit, property media, scheduler, Meta Graph API, public media origin</x:v>
      </x:c>
      <x:c r="U16" s="47" t="str">
        <x:v>Restore mutated fixture state where required; retain evidence (request/response, screenshots, SQL counts and logs).</x:v>
      </x:c>
      <x:c r="V16" s="47" t="str"/>
      <x:c r="W16" s="53" t="str">
        <x:v>Not Run</x:v>
      </x:c>
      <x:c r="X16" s="53" t="str"/>
      <x:c r="Y16" s="53" t="str">
        <x:v>Maybe</x:v>
      </x:c>
      <x:c r="Z16" s="47" t="str">
        <x:v>Current implementation. If observed behavior differs, log a defect; do not replace actual behavior with an unimplemented recommendation.</x:v>
      </x:c>
    </x:row>
    <x:row r="17" ht="78" customHeight="1">
      <x:c r="A17" s="51" t="str">
        <x:v>SOC-013</x:v>
      </x:c>
      <x:c r="B17" s="48" t="str">
        <x:v>Meta Connections and Social Publishing</x:v>
      </x:c>
      <x:c r="C17" s="48" t="str">
        <x:v>Meta Connections and Social Publishing</x:v>
      </x:c>
      <x:c r="D17" s="48" t="str">
        <x:v>Provider timeout and rate limit recovery</x:v>
      </x:c>
      <x:c r="E17" s="48" t="str">
        <x:v>Mock Graph timeout, 429 and expired token for separate publish attempts.</x:v>
      </x:c>
      <x:c r="F17" s="48" t="str">
        <x:v>Provider timeout and rate limit recovery</x:v>
      </x:c>
      <x:c r="G17" s="48" t="str">
        <x:v>Recovery</x:v>
      </x:c>
      <x:c r="H17" s="54" t="str">
        <x:v>P1</x:v>
      </x:c>
      <x:c r="I17" s="54" t="str">
        <x:v>High</x:v>
      </x:c>
      <x:c r="J17" s="48" t="str">
        <x:v>Agency user/Scheduler</x:v>
      </x:c>
      <x:c r="K17" s="48" t="str">
        <x:v>Meta app credentials; mock Graph API; Facebook Page and Instagram Business account; HTTPS-public media; scheduled times.</x:v>
      </x:c>
      <x:c r="L17" s="48" t="str">
        <x:v>Caption, target_platforms list, account IDs, media URL/file, draft/scheduled/published/partial/failed, OAuth code/state.</x:v>
      </x:c>
      <x:c r="M17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7" s="48" t="str">
        <x:v>1. Prepare: Meta app credentials; mock Graph API; Facebook Page and Instagram Business account; HTTPS-public media; scheduled times.
2. Sign in/use role: Agency user/Scheduler.
3. Navigate to /social-media and distribution social-draft handoff and capture the initial UI/API/database state.
4. Execute: Mock Graph timeout, 429 and expired token for separate publish attempts.
5. Inspect the network request/response against: CRUD /api/social-posts/posts/; POST publish; OAuth start/callback; GET accounts; POST/DELETE disconnect action.
6. Refresh/re-query the feature and related modules: Distribution toolkit, property media, scheduler, Meta Graph API, public media origin.
7. Verify affected models (SocialPost, SocialAccount, SocialPostTarget, PropertyMedia) and all listed side effects.</x:v>
      </x:c>
      <x:c r="O17" s="48" t="str">
        <x:v>Each produces actionable failed target state; successful targets stay intact; reconnect/retry path is available.</x:v>
      </x:c>
      <x:c r="P17" s="48" t="str">
        <x:v>Errors stored without false provider IDs.</x:v>
      </x:c>
      <x:c r="Q17" s="48" t="str">
        <x:v>API returns partial/failed response; scheduler continues other posts.</x:v>
      </x:c>
      <x:c r="R17" s="48" t="str">
        <x:v>Status/error/reconnect controls are clear.</x:v>
      </x:c>
      <x:c r="S17" s="48" t="str">
        <x:v>No duplicate remote post on safe retry.</x:v>
      </x:c>
      <x:c r="T17" s="48" t="str">
        <x:v>Distribution toolkit, property media, scheduler, Meta Graph API, public media origin</x:v>
      </x:c>
      <x:c r="U17" s="48" t="str">
        <x:v>Restore mutated fixture state where required; retain evidence (request/response, screenshots, SQL counts and logs).</x:v>
      </x:c>
      <x:c r="V17" s="48" t="str"/>
      <x:c r="W17" s="54" t="str">
        <x:v>Not Run</x:v>
      </x:c>
      <x:c r="X17" s="54" t="str"/>
      <x:c r="Y17" s="54" t="str">
        <x:v>Maybe</x:v>
      </x:c>
      <x:c r="Z17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7">
    <x:cfRule type="expression" dxfId="168" priority="1">
      <x:formula>H5="P0"</x:formula>
    </x:cfRule>
    <x:cfRule type="expression" dxfId="169" priority="2">
      <x:formula>H5="P1"</x:formula>
    </x:cfRule>
    <x:cfRule type="expression" dxfId="170" priority="3">
      <x:formula>H5="P2"</x:formula>
    </x:cfRule>
    <x:cfRule type="expression" dxfId="171" priority="4">
      <x:formula>H5="P3"</x:formula>
    </x:cfRule>
  </x:conditionalFormatting>
  <x:conditionalFormatting sqref="W5:W17">
    <x:cfRule type="expression" dxfId="172" priority="5">
      <x:formula>W5="Passed"</x:formula>
    </x:cfRule>
    <x:cfRule type="expression" dxfId="173" priority="6">
      <x:formula>W5="Failed"</x:formula>
    </x:cfRule>
    <x:cfRule type="expression" dxfId="174" priority="7">
      <x:formula>W5="Blocked"</x:formula>
    </x:cfRule>
    <x:cfRule type="expression" dxfId="175" priority="8">
      <x:formula>W5="Skipped"</x:formula>
    </x:cfRule>
  </x:conditionalFormatting>
  <x:dataValidations count="4">
    <x:dataValidation type="list" sqref="H5:H17">
      <x:formula1>"P0,P1,P2,P3"</x:formula1>
    </x:dataValidation>
    <x:dataValidation type="list" sqref="I5:I17">
      <x:formula1>"Critical,High,Medium,Low"</x:formula1>
    </x:dataValidation>
    <x:dataValidation type="list" sqref="W5:W17">
      <x:formula1>"Not Run,Passed,Failed,Blocked,Skipped"</x:formula1>
    </x:dataValidation>
    <x:dataValidation type="list" sqref="Y5:Y17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5f520add29472c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Dashboard, Reports, Matching and Comparison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RPT-001</x:v>
      </x:c>
      <x:c r="B5" s="46" t="str">
        <x:v>Dashboard, Reports, Matching and Comparison</x:v>
      </x:c>
      <x:c r="C5" s="46" t="str">
        <x:v>Dashboard, Reports, Matching and Comparison</x:v>
      </x:c>
      <x:c r="D5" s="46" t="str">
        <x:v>Complete the primary Dashboard, Reports, Matching and Comparison workflow</x:v>
      </x:c>
      <x:c r="E5" s="46" t="str">
        <x:v>Create known business records, load summaries, match a lead, and compare allowed properties.</x:v>
      </x:c>
      <x:c r="F5" s="46" t="str">
        <x:v>Complete the primary Dashboard, Reports, Matching and Comparison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Two tenants with known counts/values; leads with criteria; public/private properties; agent-assigned subsets.</x:v>
      </x:c>
      <x:c r="L5" s="46" t="str">
        <x:v>Date/status/source filters, lead ID, selected property IDs, empty and large datasets.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Two tenants with known counts/values; leads with criteria; public/private properties; agent-assigned subsets.
2. Sign in/use role: Agency Owner.
3. Navigate to /dashboard, /analytics, /matching, /compare, /platform-admin and capture the initial UI/API/database state.
4. Execute: Create known business records, load summaries, match a lead, and compare allowed properties.
5. Inspect the network request/response against: GET /api/dashboard/summary/; GET /api/operations/reports/summary/; GET /api/operations/matching/leads/{id}/; GET /api/operations/properties/compare/; GET /api/operations/admin/summary/.
6. Refresh/re-query the feature and related modules: Nearly every operational feature; tenant scoping and property canonical data.
7. Verify affected models (Aggregates across Lead, Property, Deal, Task, Appointment, PropertyEvent, Agency) and all listed side effects.</x:v>
      </x:c>
      <x:c r="O5" s="46" t="str">
        <x:v>Counts/totals/scores reconcile with database and role scope; no hidden tenant/private inventory leaks.</x:v>
      </x:c>
      <x:c r="P5" s="46" t="str">
        <x:v>None for pure reads; any analytics event endpoint is separate.</x:v>
      </x:c>
      <x:c r="Q5" s="46" t="str">
        <x:v>Use the documented routes: GET /api/dashboard/summary/; GET /api/operations/reports/summary/; GET /api/operations/matching/leads/{id}/; GET /api/operations/properties/compare/; GET /api/operations/admin/summary/. Successful create operations return 201, reads/updates/actions 200, and deletes 204 where provided; capture exact endpoint-specific response.</x:v>
      </x:c>
      <x:c r="R5" s="46" t="str">
        <x:v>Start at /dashboard, /analytics, /matching, /compare, /platform-admin. The visible state must match the saved API response after refresh.</x:v>
      </x:c>
      <x:c r="S5" s="46" t="str">
        <x:v>Dashboard cards, charts, matching order and comparison table update only.</x:v>
      </x:c>
      <x:c r="T5" s="46" t="str">
        <x:v>Nearly every operational feature; tenant scoping and property canonical data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RPT-002</x:v>
      </x:c>
      <x:c r="B6" s="47" t="str">
        <x:v>Dashboard, Reports, Matching and Comparison</x:v>
      </x:c>
      <x:c r="C6" s="47" t="str">
        <x:v>Dashboard, Reports, Matching and Comparison</x:v>
      </x:c>
      <x:c r="D6" s="47" t="str">
        <x:v>Reject invalid or missing Dashboard, Reports, Matching and Comparison inputs</x:v>
      </x:c>
      <x:c r="E6" s="47" t="str">
        <x:v>Reject cross-tenant lead/property IDs, invalid/missing IDs/filters, agent requests for unauthorized data, and huge selection abuse.</x:v>
      </x:c>
      <x:c r="F6" s="47" t="str">
        <x:v>Reject invalid or missing Dashboard, Reports, Matching and Comparison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Two tenants with known counts/values; leads with criteria; public/private properties; agent-assigned subsets.</x:v>
      </x:c>
      <x:c r="L6" s="47" t="str">
        <x:v>Date/status/source filters, lead ID, selected property IDs, empty and large datasets.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Two tenants with known counts/values; leads with criteria; public/private properties; agent-assigned subsets.
2. Sign in/use role: Agency Owner.
3. Navigate to /dashboard, /analytics, /matching, /compare, /platform-admin and capture the initial UI/API/database state.
4. Execute: Reject cross-tenant lead/property IDs, invalid/missing IDs/filters, agent requests for unauthorized data, and huge selection abuse.
5. Inspect the network request/response against: GET /api/dashboard/summary/; GET /api/operations/reports/summary/; GET /api/operations/matching/leads/{id}/; GET /api/operations/properties/compare/; GET /api/operations/admin/summary/.
6. Refresh/re-query the feature and related modules: Nearly every operational feature; tenant scoping and property canonical data.
7. Verify affected models (Aggregates across Lead, Property, Deal, Task, Appointment, PropertyEvent, Agency)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Nearly every operational feature; tenant scoping and property canonical data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RPT-003</x:v>
      </x:c>
      <x:c r="B7" s="47" t="str">
        <x:v>Dashboard, Reports, Matching and Comparison</x:v>
      </x:c>
      <x:c r="C7" s="47" t="str">
        <x:v>Dashboard, Reports, Matching and Comparison</x:v>
      </x:c>
      <x:c r="D7" s="47" t="str">
        <x:v>Enforce Dashboard, Reports, Matching and Comparison role permissions</x:v>
      </x:c>
      <x:c r="E7" s="47" t="str">
        <x:v>Agency reports scoped to tenant/agent rules where implemented; platform admin only super admin.</x:v>
      </x:c>
      <x:c r="F7" s="47" t="str">
        <x:v>Enforce Dashboard, Reports, Matching and Comparison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Two tenants with known counts/values; leads with criteria; public/private properties; agent-assigned subsets.</x:v>
      </x:c>
      <x:c r="L7" s="47" t="str">
        <x:v>Date/status/source filters, lead ID, selected property IDs, empty and large datasets.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Two tenants with known counts/values; leads with criteria; public/private properties; agent-assigned subsets.
2. Sign in/use role: Exercise every listed role plus an unauthenticated caller.
3. Navigate to /dashboard, /analytics, /matching, /compare, /platform-admin and capture the initial UI/API/database state.
4. Execute: Agency reports scoped to tenant/agent rules where implemented; platform admin only super admin.
5. Inspect the network request/response against: GET /api/dashboard/summary/; GET /api/operations/reports/summary/; GET /api/operations/matching/leads/{id}/; GET /api/operations/properties/compare/; GET /api/operations/admin/summary/.
6. Refresh/re-query the feature and related modules: Nearly every operational feature; tenant scoping and property canonical data.
7. Verify affected models (Aggregates across Lead, Property, Deal, Task, Appointment, PropertyEvent, Agency)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Nearly every operational feature; tenant scoping and property canonical data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RPT-004</x:v>
      </x:c>
      <x:c r="B8" s="47" t="str">
        <x:v>Dashboard, Reports, Matching and Comparison</x:v>
      </x:c>
      <x:c r="C8" s="47" t="str">
        <x:v>Dashboard, Reports, Matching and Comparison</x:v>
      </x:c>
      <x:c r="D8" s="47" t="str">
        <x:v>Prevent cross-tenant access in Dashboard, Reports, Matching and Comparison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Dashboard, Reports, Matching and Comparison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Two tenants with known counts/values; leads with criteria; public/private properties; agent-assigned subsets.</x:v>
      </x:c>
      <x:c r="L8" s="47" t="str">
        <x:v>Date/status/source filters, lead ID, selected property IDs, empty and large datasets.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Two tenants with known counts/values; leads with criteria; public/private properties; agent-assigned subsets.
2. Sign in/use role: Agency A authenticated user and Agency B fixture.
3. Navigate to /dashboard, /analytics, /matching, /compare, /platform-admin and capture the initial UI/API/database state.
4. Execute: Substitute Agency B object IDs, related IDs, slugs, files and filter parameters into every Agency A list/detail/create/update/delete/action request.
5. Inspect the network request/response against: GET /api/dashboard/summary/; GET /api/operations/reports/summary/; GET /api/operations/matching/leads/{id}/; GET /api/operations/properties/compare/; GET /api/operations/admin/summary/.
6. Refresh/re-query the feature and related modules: Nearly every operational feature; tenant scoping and property canonical data.
7. Verify affected models (Aggregates across Lead, Property, Deal, Task, Appointment, PropertyEvent, Agency)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Nearly every operational feature; tenant scoping and property canonical data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RPT-005</x:v>
      </x:c>
      <x:c r="B9" s="47" t="str">
        <x:v>Dashboard, Reports, Matching and Comparison</x:v>
      </x:c>
      <x:c r="C9" s="47" t="str">
        <x:v>Dashboard, Reports, Matching and Comparison</x:v>
      </x:c>
      <x:c r="D9" s="47" t="str">
        <x:v>Verify Dashboard, Reports, Matching and Comparison list, search and filter scoping</x:v>
      </x:c>
      <x:c r="E9" s="47" t="str">
        <x:v>Filter periods/statuses produce deterministic calculations including zero data.</x:v>
      </x:c>
      <x:c r="F9" s="47" t="str">
        <x:v>Verify Dashboard, Reports, Matching and Comparison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Two tenants with known counts/values; leads with criteria; public/private properties; agent-assigned subsets.</x:v>
      </x:c>
      <x:c r="L9" s="47" t="str">
        <x:v>Date/status/source filters, lead ID, selected property IDs, empty and large datasets.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Two tenants with known counts/values; leads with criteria; public/private properties; agent-assigned subsets.
2. Sign in/use role: Agency Owner.
3. Navigate to /dashboard, /analytics, /matching, /compare, /platform-admin and capture the initial UI/API/database state.
4. Execute: Filter periods/statuses produce deterministic calculations including zero data.
5. Inspect the network request/response against: GET /api/dashboard/summary/; GET /api/operations/reports/summary/; GET /api/operations/matching/leads/{id}/; GET /api/operations/properties/compare/; GET /api/operations/admin/summary/.
6. Refresh/re-query the feature and related modules: Nearly every operational feature; tenant scoping and property canonical data.
7. Verify affected models (Aggregates across Lead, Property, Deal, Task, Appointment, PropertyEvent, Agency)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Nearly every operational feature; tenant scoping and property canonical data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RPT-006</x:v>
      </x:c>
      <x:c r="B10" s="47" t="str">
        <x:v>Dashboard, Reports, Matching and Comparison</x:v>
      </x:c>
      <x:c r="C10" s="47" t="str">
        <x:v>Dashboard, Reports, Matching and Comparison</x:v>
      </x:c>
      <x:c r="D10" s="47" t="str">
        <x:v>Test duplicate submission and idempotency for Dashboard, Reports, Matching and Comparison</x:v>
      </x:c>
      <x:c r="E10" s="47" t="str">
        <x:v>Double-click/submit identical requests sequentially and concurrently. Current rule: Repeated calls return consistent values for unchanged data; caching/staleness behavior is not determined from current implementation.</x:v>
      </x:c>
      <x:c r="F10" s="47" t="str">
        <x:v>Test duplicate submission and idempotency for Dashboard, Reports, Matching and Comparison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Two tenants with known counts/values; leads with criteria; public/private properties; agent-assigned subsets.</x:v>
      </x:c>
      <x:c r="L10" s="47" t="str">
        <x:v>Date/status/source filters, lead ID, selected property IDs, empty and large datasets.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Two tenants with known counts/values; leads with criteria; public/private properties; agent-assigned subsets.
2. Sign in/use role: Agency Owner.
3. Navigate to /dashboard, /analytics, /matching, /compare, /platform-admin and capture the initial UI/API/database state.
4. Execute: Double-click/submit identical requests sequentially and concurrently. Current rule: Repeated calls return consistent values for unchanged data; caching/staleness behavior is not determined from current implementation.
5. Inspect the network request/response against: GET /api/dashboard/summary/; GET /api/operations/reports/summary/; GET /api/operations/matching/leads/{id}/; GET /api/operations/properties/compare/; GET /api/operations/admin/summary/.
6. Refresh/re-query the feature and related modules: Nearly every operational feature; tenant scoping and property canonical data.
7. Verify affected models (Aggregates across Lead, Property, Deal, Task, Appointment, PropertyEvent, Agency)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Nearly every operational feature; tenant scoping and property canonical data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RPT-007</x:v>
      </x:c>
      <x:c r="B11" s="47" t="str">
        <x:v>Dashboard, Reports, Matching and Comparison</x:v>
      </x:c>
      <x:c r="C11" s="47" t="str">
        <x:v>Dashboard, Reports, Matching and Comparison</x:v>
      </x:c>
      <x:c r="D11" s="47" t="str">
        <x:v>Verify deletion and dependency behavior for Dashboard, Reports, Matching and Comparison</x:v>
      </x:c>
      <x:c r="E11" s="47" t="str">
        <x:v>Delete an unreferenced record, a referenced record, a foreign-tenant record, and an already-deleted ID. Current rule: Read-only endpoints; no source records should change.</x:v>
      </x:c>
      <x:c r="F11" s="47" t="str">
        <x:v>Verify deletion and dependency behavior for Dashboard, Reports, Matching and Comparison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Two tenants with known counts/values; leads with criteria; public/private properties; agent-assigned subsets.</x:v>
      </x:c>
      <x:c r="L11" s="47" t="str">
        <x:v>Date/status/source filters, lead ID, selected property IDs, empty and large datasets.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Two tenants with known counts/values; leads with criteria; public/private properties; agent-assigned subsets.
2. Sign in/use role: Agency Owner or Agency Manager.
3. Navigate to /dashboard, /analytics, /matching, /compare, /platform-admin and capture the initial UI/API/database state.
4. Execute: Delete an unreferenced record, a referenced record, a foreign-tenant record, and an already-deleted ID. Current rule: Read-only endpoints; no source records should change.
5. Inspect the network request/response against: GET /api/dashboard/summary/; GET /api/operations/reports/summary/; GET /api/operations/matching/leads/{id}/; GET /api/operations/properties/compare/; GET /api/operations/admin/summary/.
6. Refresh/re-query the feature and related modules: Nearly every operational feature; tenant scoping and property canonical data.
7. Verify affected models (Aggregates across Lead, Property, Deal, Task, Appointment, PropertyEvent, Agency)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Nearly every operational feature; tenant scoping and property canonical data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RPT-008</x:v>
      </x:c>
      <x:c r="B12" s="47" t="str">
        <x:v>Dashboard, Reports, Matching and Comparison</x:v>
      </x:c>
      <x:c r="C12" s="47" t="str">
        <x:v>Dashboard, Reports, Matching and Comparison</x:v>
      </x:c>
      <x:c r="D12" s="47" t="str">
        <x:v>Recover cleanly from API/network failure during Dashboard, Reports, Matching and Comparison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Dashboard, Reports, Matching and Comparison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Two tenants with known counts/values; leads with criteria; public/private properties; agent-assigned subsets.</x:v>
      </x:c>
      <x:c r="L12" s="47" t="str">
        <x:v>Date/status/source filters, lead ID, selected property IDs, empty and large datasets.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Two tenants with known counts/values; leads with criteria; public/private properties; agent-assigned subsets.
2. Sign in/use role: Agency Owner.
3. Navigate to /dashboard, /analytics, /matching, /compare, /platform-admin and capture the initial UI/API/database state.
4. Execute: Simulate timeout, offline browser, 500 response, expired access token and failed refresh while submitting the primary workflow.
5. Inspect the network request/response against: GET /api/dashboard/summary/; GET /api/operations/reports/summary/; GET /api/operations/matching/leads/{id}/; GET /api/operations/properties/compare/; GET /api/operations/admin/summary/.
6. Refresh/re-query the feature and related modules: Nearly every operational feature; tenant scoping and property canonical data.
7. Verify affected models (Aggregates across Lead, Property, Deal, Task, Appointment, PropertyEvent, Agency)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Nearly every operational feature; tenant scoping and property canonical data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RPT-009</x:v>
      </x:c>
      <x:c r="B13" s="47" t="str">
        <x:v>Dashboard, Reports, Matching and Comparison</x:v>
      </x:c>
      <x:c r="C13" s="47" t="str">
        <x:v>Dashboard, Reports, Matching and Comparison</x:v>
      </x:c>
      <x:c r="D13" s="47" t="str">
        <x:v>Report totals reconcile to tenant database</x:v>
      </x:c>
      <x:c r="E13" s="47" t="str">
        <x:v>Seed known properties/leads/deals/tasks/events and compare report JSON to SQL counts/sums.</x:v>
      </x:c>
      <x:c r="F13" s="47" t="str">
        <x:v>Report totals reconcile to tenant database</x:v>
      </x:c>
      <x:c r="G13" s="47" t="str">
        <x:v>Database</x:v>
      </x:c>
      <x:c r="H13" s="53" t="str">
        <x:v>P0</x:v>
      </x:c>
      <x:c r="I13" s="53" t="str">
        <x:v>Critical</x:v>
      </x:c>
      <x:c r="J13" s="47" t="str">
        <x:v>Agency Owner</x:v>
      </x:c>
      <x:c r="K13" s="47" t="str">
        <x:v>Two tenants with known counts/values; leads with criteria; public/private properties; agent-assigned subsets.</x:v>
      </x:c>
      <x:c r="L13" s="47" t="str">
        <x:v>Date/status/source filters, lead ID, selected property IDs, empty and large datasets.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Two tenants with known counts/values; leads with criteria; public/private properties; agent-assigned subsets.
2. Sign in/use role: Agency Owner.
3. Navigate to /dashboard, /analytics, /matching, /compare, /platform-admin and capture the initial UI/API/database state.
4. Execute: Seed known properties/leads/deals/tasks/events and compare report JSON to SQL counts/sums.
5. Inspect the network request/response against: GET /api/dashboard/summary/; GET /api/operations/reports/summary/; GET /api/operations/matching/leads/{id}/; GET /api/operations/properties/compare/; GET /api/operations/admin/summary/.
6. Refresh/re-query the feature and related modules: Nearly every operational feature; tenant scoping and property canonical data.
7. Verify affected models (Aggregates across Lead, Property, Deal, Task, Appointment, PropertyEvent, Agency) and all listed side effects.</x:v>
      </x:c>
      <x:c r="O13" s="47" t="str">
        <x:v>Every metric equals the documented queryset result for Agency A and excludes Agency B.</x:v>
      </x:c>
      <x:c r="P13" s="47" t="str">
        <x:v>No rows change.</x:v>
      </x:c>
      <x:c r="Q13" s="47" t="str">
        <x:v>GET reports/summary returns 200 with numeric values.</x:v>
      </x:c>
      <x:c r="R13" s="47" t="str">
        <x:v>Charts/cards match API exactly, including zero states.</x:v>
      </x:c>
      <x:c r="S13" s="47" t="str">
        <x:v>No notification/audit side effect.</x:v>
      </x:c>
      <x:c r="T13" s="47" t="str">
        <x:v>Nearly every operational feature; tenant scoping and property canonical data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RPT-010</x:v>
      </x:c>
      <x:c r="B14" s="47" t="str">
        <x:v>Dashboard, Reports, Matching and Comparison</x:v>
      </x:c>
      <x:c r="C14" s="47" t="str">
        <x:v>Dashboard, Reports, Matching and Comparison</x:v>
      </x:c>
      <x:c r="D14" s="47" t="str">
        <x:v>Matching ranks relevant public/tenant property</x:v>
      </x:c>
      <x:c r="E14" s="47" t="str">
        <x:v>Create lead criteria and candidate properties varying type/location/price/area; request matches.</x:v>
      </x:c>
      <x:c r="F14" s="47" t="str">
        <x:v>Matching ranks relevant public/tenant property</x:v>
      </x:c>
      <x:c r="G14" s="47" t="str">
        <x:v>Functional</x:v>
      </x:c>
      <x:c r="H14" s="53" t="str">
        <x:v>P1</x:v>
      </x:c>
      <x:c r="I14" s="53" t="str">
        <x:v>High</x:v>
      </x:c>
      <x:c r="J14" s="47" t="str">
        <x:v>Agency user</x:v>
      </x:c>
      <x:c r="K14" s="47" t="str">
        <x:v>Two tenants with known counts/values; leads with criteria; public/private properties; agent-assigned subsets.</x:v>
      </x:c>
      <x:c r="L14" s="47" t="str">
        <x:v>Date/status/source filters, lead ID, selected property IDs, empty and large datasets.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Two tenants with known counts/values; leads with criteria; public/private properties; agent-assigned subsets.
2. Sign in/use role: Agency user.
3. Navigate to /dashboard, /analytics, /matching, /compare, /platform-admin and capture the initial UI/API/database state.
4. Execute: Create lead criteria and candidate properties varying type/location/price/area; request matches.
5. Inspect the network request/response against: GET /api/dashboard/summary/; GET /api/operations/reports/summary/; GET /api/operations/matching/leads/{id}/; GET /api/operations/properties/compare/; GET /api/operations/admin/summary/.
6. Refresh/re-query the feature and related modules: Nearly every operational feature; tenant scoping and property canonical data.
7. Verify affected models (Aggregates across Lead, Property, Deal, Task, Appointment, PropertyEvent, Agency) and all listed side effects.</x:v>
      </x:c>
      <x:c r="O14" s="47" t="str">
        <x:v>Relevant allowed property receives higher score with explainable component values.</x:v>
      </x:c>
      <x:c r="P14" s="47" t="str">
        <x:v>No rows change.</x:v>
      </x:c>
      <x:c r="Q14" s="47" t="str">
        <x:v>GET matching/leads/{id}/ returns ordered scored results.</x:v>
      </x:c>
      <x:c r="R14" s="47" t="str">
        <x:v>Matching UI order and reasons match response.</x:v>
      </x:c>
      <x:c r="S14" s="47" t="str">
        <x:v>Selecting a result can feed comparison without mutation.</x:v>
      </x:c>
      <x:c r="T14" s="47" t="str">
        <x:v>Nearly every operational feature; tenant scoping and property canonical data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RPT-011</x:v>
      </x:c>
      <x:c r="B15" s="47" t="str">
        <x:v>Dashboard, Reports, Matching and Comparison</x:v>
      </x:c>
      <x:c r="C15" s="47" t="str">
        <x:v>Dashboard, Reports, Matching and Comparison</x:v>
      </x:c>
      <x:c r="D15" s="47" t="str">
        <x:v>Compare rejects cross-tenant/private property IDs</x:v>
      </x:c>
      <x:c r="E15" s="47" t="str">
        <x:v>Request comparison with Agency A and Agency B property IDs.</x:v>
      </x:c>
      <x:c r="F15" s="47" t="str">
        <x:v>Compare rejects cross-tenant/private property IDs</x:v>
      </x:c>
      <x:c r="G15" s="47" t="str">
        <x:v>Security</x:v>
      </x:c>
      <x:c r="H15" s="53" t="str">
        <x:v>P0</x:v>
      </x:c>
      <x:c r="I15" s="53" t="str">
        <x:v>Critical</x:v>
      </x:c>
      <x:c r="J15" s="47" t="str">
        <x:v>Agency A user</x:v>
      </x:c>
      <x:c r="K15" s="47" t="str">
        <x:v>Two tenants with known counts/values; leads with criteria; public/private properties; agent-assigned subsets.</x:v>
      </x:c>
      <x:c r="L15" s="47" t="str">
        <x:v>Date/status/source filters, lead ID, selected property IDs, empty and large datasets.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Two tenants with known counts/values; leads with criteria; public/private properties; agent-assigned subsets.
2. Sign in/use role: Agency A user.
3. Navigate to /dashboard, /analytics, /matching, /compare, /platform-admin and capture the initial UI/API/database state.
4. Execute: Request comparison with Agency A and Agency B property IDs.
5. Inspect the network request/response against: GET /api/dashboard/summary/; GET /api/operations/reports/summary/; GET /api/operations/matching/leads/{id}/; GET /api/operations/properties/compare/; GET /api/operations/admin/summary/.
6. Refresh/re-query the feature and related modules: Nearly every operational feature; tenant scoping and property canonical data.
7. Verify affected models (Aggregates across Lead, Property, Deal, Task, Appointment, PropertyEvent, Agency) and all listed side effects.</x:v>
      </x:c>
      <x:c r="O15" s="47" t="str">
        <x:v>Only authorized scoped properties are returned or request is rejected without B data.</x:v>
      </x:c>
      <x:c r="P15" s="47" t="str">
        <x:v>No rows change.</x:v>
      </x:c>
      <x:c r="Q15" s="47" t="str">
        <x:v>GET properties/compare returns scoped response/404 validation.</x:v>
      </x:c>
      <x:c r="R15" s="47" t="str">
        <x:v>Comparison table never shows B title/address/price.</x:v>
      </x:c>
      <x:c r="S15" s="47" t="str">
        <x:v>No event or history.</x:v>
      </x:c>
      <x:c r="T15" s="47" t="str">
        <x:v>Nearly every operational feature; tenant scoping and property canonical data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RPT-012</x:v>
      </x:c>
      <x:c r="B16" s="48" t="str">
        <x:v>Dashboard, Reports, Matching and Comparison</x:v>
      </x:c>
      <x:c r="C16" s="48" t="str">
        <x:v>Dashboard, Reports, Matching and Comparison</x:v>
      </x:c>
      <x:c r="D16" s="48" t="str">
        <x:v>Platform admin summary is super-admin only</x:v>
      </x:c>
      <x:c r="E16" s="48" t="str">
        <x:v>Call admin summary and platform-agencies list as both roles.</x:v>
      </x:c>
      <x:c r="F16" s="48" t="str">
        <x:v>Platform admin summary is super-admin only</x:v>
      </x:c>
      <x:c r="G16" s="48" t="str">
        <x:v>Permission</x:v>
      </x:c>
      <x:c r="H16" s="54" t="str">
        <x:v>P0</x:v>
      </x:c>
      <x:c r="I16" s="54" t="str">
        <x:v>Critical</x:v>
      </x:c>
      <x:c r="J16" s="48" t="str">
        <x:v>Agency Owner and Super Admin</x:v>
      </x:c>
      <x:c r="K16" s="48" t="str">
        <x:v>Two tenants with known counts/values; leads with criteria; public/private properties; agent-assigned subsets.</x:v>
      </x:c>
      <x:c r="L16" s="48" t="str">
        <x:v>Date/status/source filters, lead ID, selected property IDs, empty and large datasets.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Two tenants with known counts/values; leads with criteria; public/private properties; agent-assigned subsets.
2. Sign in/use role: Agency Owner and Super Admin.
3. Navigate to /dashboard, /analytics, /matching, /compare, /platform-admin and capture the initial UI/API/database state.
4. Execute: Call admin summary and platform-agencies list as both roles.
5. Inspect the network request/response against: GET /api/dashboard/summary/; GET /api/operations/reports/summary/; GET /api/operations/matching/leads/{id}/; GET /api/operations/properties/compare/; GET /api/operations/admin/summary/.
6. Refresh/re-query the feature and related modules: Nearly every operational feature; tenant scoping and property canonical data.
7. Verify affected models (Aggregates across Lead, Property, Deal, Task, Appointment, PropertyEvent, Agency) and all listed side effects.</x:v>
      </x:c>
      <x:c r="O16" s="48" t="str">
        <x:v>Owner receives 403; super admin receives cross-agency platform metrics.</x:v>
      </x:c>
      <x:c r="P16" s="48" t="str">
        <x:v>No rows change.</x:v>
      </x:c>
      <x:c r="Q16" s="48" t="str">
        <x:v>403 then 200.</x:v>
      </x:c>
      <x:c r="R16" s="48" t="str">
        <x:v>Platform admin navigation/content hidden from owner.</x:v>
      </x:c>
      <x:c r="S16" s="48" t="str">
        <x:v>No tenant record mutation.</x:v>
      </x:c>
      <x:c r="T16" s="48" t="str">
        <x:v>Nearly every operational feature; tenant scoping and property canonical data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176" priority="1">
      <x:formula>H5="P0"</x:formula>
    </x:cfRule>
    <x:cfRule type="expression" dxfId="177" priority="2">
      <x:formula>H5="P1"</x:formula>
    </x:cfRule>
    <x:cfRule type="expression" dxfId="178" priority="3">
      <x:formula>H5="P2"</x:formula>
    </x:cfRule>
    <x:cfRule type="expression" dxfId="179" priority="4">
      <x:formula>H5="P3"</x:formula>
    </x:cfRule>
  </x:conditionalFormatting>
  <x:conditionalFormatting sqref="W5:W16">
    <x:cfRule type="expression" dxfId="180" priority="5">
      <x:formula>W5="Passed"</x:formula>
    </x:cfRule>
    <x:cfRule type="expression" dxfId="181" priority="6">
      <x:formula>W5="Failed"</x:formula>
    </x:cfRule>
    <x:cfRule type="expression" dxfId="182" priority="7">
      <x:formula>W5="Blocked"</x:formula>
    </x:cfRule>
    <x:cfRule type="expression" dxfId="183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23c197472b404b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Agency SaaS Subscription Billing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13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BILL-001</x:v>
      </x:c>
      <x:c r="B5" s="46" t="str">
        <x:v>Agency SaaS Subscription Billing</x:v>
      </x:c>
      <x:c r="C5" s="46" t="str">
        <x:v>Agency SaaS Subscription Billing</x:v>
      </x:c>
      <x:c r="D5" s="46" t="str">
        <x:v>Complete the primary Agency SaaS Subscription Billing workflow</x:v>
      </x:c>
      <x:c r="E5" s="46" t="str">
        <x:v>Start Checkout for a plan, deliver signed webhook events, verify entitlement, and open billing portal.</x:v>
      </x:c>
      <x:c r="F5" s="46" t="str">
        <x:v>Complete the primary Agency SaaS Subscription Billing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</x:v>
      </x:c>
      <x:c r="K5" s="46" t="str">
        <x:v>Stripe test credentials/webhook secret or mocks; trialing/active/past_due/cancelled/expired agencies; test plans.</x:v>
      </x:c>
      <x:c r="L5" s="46" t="str">
        <x:v>Plan code, Stripe session/customer/subscription/event IDs, valid/invalid signatures, duplicated/out-of-order events.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Stripe test credentials/webhook secret or mocks; trialing/active/past_due/cancelled/expired agencies; test plans.
2. Sign in/use role: Agency Owner.
3. Navigate to /billing, /payment-required and capture the initial UI/API/database state.
4. Execute: Start Checkout for a plan, deliver signed webhook events, verify entitlement, and open billing portal.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5" s="46" t="str">
        <x:v>Subscription/customer/payment state maps to the correct agency; valid active entitlement permits JWT use; expired state rejects ordinary users.</x:v>
      </x:c>
      <x:c r="P5" s="46" t="str">
        <x:v>Subscription/Payment and Agency payment fields update; no Property/Deal/Lease payment rows exist.</x:v>
      </x:c>
      <x:c r="Q5" s="46" t="str">
        <x:v>Use the documented routes: GET /api/operations/subscriptions/; POST checkout; POST billing-portal; GET subscription-plans; POST /api/webhooks/stripe/; DEBUG-only mark-paid endpoint. Successful create operations return 201, reads/updates/actions 200, and deletes 204 where provided; capture exact endpoint-specific response.</x:v>
      </x:c>
      <x:c r="R5" s="46" t="str">
        <x:v>Start at /billing, /payment-required. The visible state must match the saved API response after refresh.</x:v>
      </x:c>
      <x:c r="S5" s="46" t="str">
        <x:v>JWT access, payment-required routing and billing UI change; all agency business data remains stored even while access is blocked.</x:v>
      </x:c>
      <x:c r="T5" s="46" t="str">
        <x:v>Authentication gate, Stripe API/webhooks, platform admin, agency access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BILL-002</x:v>
      </x:c>
      <x:c r="B6" s="47" t="str">
        <x:v>Agency SaaS Subscription Billing</x:v>
      </x:c>
      <x:c r="C6" s="47" t="str">
        <x:v>Agency SaaS Subscription Billing</x:v>
      </x:c>
      <x:c r="D6" s="47" t="str">
        <x:v>Reject invalid or missing Agency SaaS Subscription Billing inputs</x:v>
      </x:c>
      <x:c r="E6" s="47" t="str">
        <x:v>Reject inactive/unknown plan, missing Stripe config, invalid signature, unknown agency metadata, duplicate/out-of-order callbacks and provider failures safely.</x:v>
      </x:c>
      <x:c r="F6" s="47" t="str">
        <x:v>Reject invalid or missing Agency SaaS Subscription Billing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</x:v>
      </x:c>
      <x:c r="K6" s="47" t="str">
        <x:v>Stripe test credentials/webhook secret or mocks; trialing/active/past_due/cancelled/expired agencies; test plans.</x:v>
      </x:c>
      <x:c r="L6" s="47" t="str">
        <x:v>Plan code, Stripe session/customer/subscription/event IDs, valid/invalid signatures, duplicated/out-of-order events.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Stripe test credentials/webhook secret or mocks; trialing/active/past_due/cancelled/expired agencies; test plans.
2. Sign in/use role: Agency Owner.
3. Navigate to /billing, /payment-required and capture the initial UI/API/database state.
4. Execute: Reject inactive/unknown plan, missing Stripe config, invalid signature, unknown agency metadata, duplicate/out-of-order callbacks and provider failures safely.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Authentication gate, Stripe API/webhooks, platform admin, agency access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BILL-003</x:v>
      </x:c>
      <x:c r="B7" s="47" t="str">
        <x:v>Agency SaaS Subscription Billing</x:v>
      </x:c>
      <x:c r="C7" s="47" t="str">
        <x:v>Agency SaaS Subscription Billing</x:v>
      </x:c>
      <x:c r="D7" s="47" t="str">
        <x:v>Enforce Agency SaaS Subscription Billing role permissions</x:v>
      </x:c>
      <x:c r="E7" s="47" t="str">
        <x:v>Agency reads its own subscription; webhook authenticates by signature; super admin platform controls; no property/payment transaction rights are introduced.</x:v>
      </x:c>
      <x:c r="F7" s="47" t="str">
        <x:v>Enforce Agency SaaS Subscription Billing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Stripe test credentials/webhook secret or mocks; trialing/active/past_due/cancelled/expired agencies; test plans.</x:v>
      </x:c>
      <x:c r="L7" s="47" t="str">
        <x:v>Plan code, Stripe session/customer/subscription/event IDs, valid/invalid signatures, duplicated/out-of-order events.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Stripe test credentials/webhook secret or mocks; trialing/active/past_due/cancelled/expired agencies; test plans.
2. Sign in/use role: Exercise every listed role plus an unauthenticated caller.
3. Navigate to /billing, /payment-required and capture the initial UI/API/database state.
4. Execute: Agency reads its own subscription; webhook authenticates by signature; super admin platform controls; no property/payment transaction rights are introduced.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Authentication gate, Stripe API/webhooks, platform admin, agency access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BILL-004</x:v>
      </x:c>
      <x:c r="B8" s="47" t="str">
        <x:v>Agency SaaS Subscription Billing</x:v>
      </x:c>
      <x:c r="C8" s="47" t="str">
        <x:v>Agency SaaS Subscription Billing</x:v>
      </x:c>
      <x:c r="D8" s="47" t="str">
        <x:v>Prevent cross-tenant access in Agency SaaS Subscription Billing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Agency SaaS Subscription Billing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Stripe test credentials/webhook secret or mocks; trialing/active/past_due/cancelled/expired agencies; test plans.</x:v>
      </x:c>
      <x:c r="L8" s="47" t="str">
        <x:v>Plan code, Stripe session/customer/subscription/event IDs, valid/invalid signatures, duplicated/out-of-order events.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Stripe test credentials/webhook secret or mocks; trialing/active/past_due/cancelled/expired agencies; test plans.
2. Sign in/use role: Agency A authenticated user and Agency B fixture.
3. Navigate to /billing, /payment-required and capture the initial UI/API/database state.
4. Execute: Substitute Agency B object IDs, related IDs, slugs, files and filter parameters into every Agency A list/detail/create/update/delete/action request.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Authentication gate, Stripe API/webhooks, platform admin, agency access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BILL-005</x:v>
      </x:c>
      <x:c r="B9" s="47" t="str">
        <x:v>Agency SaaS Subscription Billing</x:v>
      </x:c>
      <x:c r="C9" s="47" t="str">
        <x:v>Agency SaaS Subscription Billing</x:v>
      </x:c>
      <x:c r="D9" s="47" t="str">
        <x:v>Verify Agency SaaS Subscription Billing list, search and filter scoping</x:v>
      </x:c>
      <x:c r="E9" s="47" t="str">
        <x:v>Subscription list is agency scoped; plans expose active catalog only.</x:v>
      </x:c>
      <x:c r="F9" s="47" t="str">
        <x:v>Verify Agency SaaS Subscription Billing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</x:v>
      </x:c>
      <x:c r="K9" s="47" t="str">
        <x:v>Stripe test credentials/webhook secret or mocks; trialing/active/past_due/cancelled/expired agencies; test plans.</x:v>
      </x:c>
      <x:c r="L9" s="47" t="str">
        <x:v>Plan code, Stripe session/customer/subscription/event IDs, valid/invalid signatures, duplicated/out-of-order events.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Stripe test credentials/webhook secret or mocks; trialing/active/past_due/cancelled/expired agencies; test plans.
2. Sign in/use role: Agency Owner.
3. Navigate to /billing, /payment-required and capture the initial UI/API/database state.
4. Execute: Subscription list is agency scoped; plans expose active catalog only.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Authentication gate, Stripe API/webhooks, platform admin, agency access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BILL-006</x:v>
      </x:c>
      <x:c r="B10" s="47" t="str">
        <x:v>Agency SaaS Subscription Billing</x:v>
      </x:c>
      <x:c r="C10" s="47" t="str">
        <x:v>Agency SaaS Subscription Billing</x:v>
      </x:c>
      <x:c r="D10" s="47" t="str">
        <x:v>Test duplicate submission and idempotency for Agency SaaS Subscription Billing</x:v>
      </x:c>
      <x:c r="E10" s="47" t="str">
        <x:v>Double-click/submit identical requests sequentially and concurrently. Current rule: Stripe event/payment IDs must prevent duplicate ledger/state side effects; webhook retries are expected.</x:v>
      </x:c>
      <x:c r="F10" s="47" t="str">
        <x:v>Test duplicate submission and idempotency for Agency SaaS Subscription Billing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</x:v>
      </x:c>
      <x:c r="K10" s="47" t="str">
        <x:v>Stripe test credentials/webhook secret or mocks; trialing/active/past_due/cancelled/expired agencies; test plans.</x:v>
      </x:c>
      <x:c r="L10" s="47" t="str">
        <x:v>Plan code, Stripe session/customer/subscription/event IDs, valid/invalid signatures, duplicated/out-of-order events.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Stripe test credentials/webhook secret or mocks; trialing/active/past_due/cancelled/expired agencies; test plans.
2. Sign in/use role: Agency Owner.
3. Navigate to /billing, /payment-required and capture the initial UI/API/database state.
4. Execute: Double-click/submit identical requests sequentially and concurrently. Current rule: Stripe event/payment IDs must prevent duplicate ledger/state side effects; webhook retries are expected.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Authentication gate, Stripe API/webhooks, platform admin, agency access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BILL-007</x:v>
      </x:c>
      <x:c r="B11" s="47" t="str">
        <x:v>Agency SaaS Subscription Billing</x:v>
      </x:c>
      <x:c r="C11" s="47" t="str">
        <x:v>Agency SaaS Subscription Billing</x:v>
      </x:c>
      <x:c r="D11" s="47" t="str">
        <x:v>Verify deletion and dependency behavior for Agency SaaS Subscription Billing</x:v>
      </x:c>
      <x:c r="E11" s="47" t="str">
        <x:v>Delete an unreferenced record, a referenced record, a foreign-tenant record, and an already-deleted ID. Current rule: Subscription endpoint is read-only except checkout/portal actions; cancellation is provider-driven. Property/lease records never cascade from subscription changes.</x:v>
      </x:c>
      <x:c r="F11" s="47" t="str">
        <x:v>Verify deletion and dependency behavior for Agency SaaS Subscription Billing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Stripe test credentials/webhook secret or mocks; trialing/active/past_due/cancelled/expired agencies; test plans.</x:v>
      </x:c>
      <x:c r="L11" s="47" t="str">
        <x:v>Plan code, Stripe session/customer/subscription/event IDs, valid/invalid signatures, duplicated/out-of-order events.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Stripe test credentials/webhook secret or mocks; trialing/active/past_due/cancelled/expired agencies; test plans.
2. Sign in/use role: Agency Owner or Agency Manager.
3. Navigate to /billing, /payment-required and capture the initial UI/API/database state.
4. Execute: Delete an unreferenced record, a referenced record, a foreign-tenant record, and an already-deleted ID. Current rule: Subscription endpoint is read-only except checkout/portal actions; cancellation is provider-driven. Property/lease records never cascade from subscription changes.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Authentication gate, Stripe API/webhooks, platform admin, agency access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BILL-008</x:v>
      </x:c>
      <x:c r="B12" s="47" t="str">
        <x:v>Agency SaaS Subscription Billing</x:v>
      </x:c>
      <x:c r="C12" s="47" t="str">
        <x:v>Agency SaaS Subscription Billing</x:v>
      </x:c>
      <x:c r="D12" s="47" t="str">
        <x:v>Recover cleanly from API/network failure during Agency SaaS Subscription Billing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Agency SaaS Subscription Billing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</x:v>
      </x:c>
      <x:c r="K12" s="47" t="str">
        <x:v>Stripe test credentials/webhook secret or mocks; trialing/active/past_due/cancelled/expired agencies; test plans.</x:v>
      </x:c>
      <x:c r="L12" s="47" t="str">
        <x:v>Plan code, Stripe session/customer/subscription/event IDs, valid/invalid signatures, duplicated/out-of-order events.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Stripe test credentials/webhook secret or mocks; trialing/active/past_due/cancelled/expired agencies; test plans.
2. Sign in/use role: Agency Owner.
3. Navigate to /billing, /payment-required and capture the initial UI/API/database state.
4. Execute: Simulate timeout, offline browser, 500 response, expired access token and failed refresh while submitting the primary workflow.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Authentication gate, Stripe API/webhooks, platform admin, agency access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BILL-009</x:v>
      </x:c>
      <x:c r="B13" s="47" t="str">
        <x:v>Agency SaaS Subscription Billing</x:v>
      </x:c>
      <x:c r="C13" s="47" t="str">
        <x:v>Agency SaaS Subscription Billing</x:v>
      </x:c>
      <x:c r="D13" s="47" t="str">
        <x:v>Expired subscription invalidates an existing JWT</x:v>
      </x:c>
      <x:c r="E13" s="47" t="str">
        <x:v>Issue a valid JWT, expire/cancel the agency subscription, then call authenticated endpoint.</x:v>
      </x:c>
      <x:c r="F13" s="47" t="str">
        <x:v>Expired subscription invalidates an existing JWT</x:v>
      </x:c>
      <x:c r="G13" s="47" t="str">
        <x:v>Security</x:v>
      </x:c>
      <x:c r="H13" s="53" t="str">
        <x:v>P0</x:v>
      </x:c>
      <x:c r="I13" s="53" t="str">
        <x:v>Critical</x:v>
      </x:c>
      <x:c r="J13" s="47" t="str">
        <x:v>Agency user</x:v>
      </x:c>
      <x:c r="K13" s="47" t="str">
        <x:v>Stripe test credentials/webhook secret or mocks; trialing/active/past_due/cancelled/expired agencies; test plans.</x:v>
      </x:c>
      <x:c r="L13" s="47" t="str">
        <x:v>Plan code, Stripe session/customer/subscription/event IDs, valid/invalid signatures, duplicated/out-of-order events.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Stripe test credentials/webhook secret or mocks; trialing/active/past_due/cancelled/expired agencies; test plans.
2. Sign in/use role: Agency user.
3. Navigate to /billing, /payment-required and capture the initial UI/API/database state.
4. Execute: Issue a valid JWT, expire/cancel the agency subscription, then call authenticated endpoint.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13" s="47" t="str">
        <x:v>AgencyJWTAuthentication rejects the previously valid token.</x:v>
      </x:c>
      <x:c r="P13" s="47" t="str">
        <x:v>No business row changes from rejected request; subscription state remains expired.</x:v>
      </x:c>
      <x:c r="Q13" s="47" t="str">
        <x:v>Authenticated call returns 401 with inactive/expired message.</x:v>
      </x:c>
      <x:c r="R13" s="47" t="str">
        <x:v>User is redirected to login/payment-required and protected data clears from view.</x:v>
      </x:c>
      <x:c r="S13" s="47" t="str">
        <x:v>No destructive tenant data deletion.</x:v>
      </x:c>
      <x:c r="T13" s="47" t="str">
        <x:v>Authentication gate, Stripe API/webhooks, platform admin, agency access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BILL-010</x:v>
      </x:c>
      <x:c r="B14" s="47" t="str">
        <x:v>Agency SaaS Subscription Billing</x:v>
      </x:c>
      <x:c r="C14" s="47" t="str">
        <x:v>Agency SaaS Subscription Billing</x:v>
      </x:c>
      <x:c r="D14" s="47" t="str">
        <x:v>Invalid Stripe signature is rejected</x:v>
      </x:c>
      <x:c r="E14" s="47" t="str">
        <x:v>POST realistic webhook with missing/incorrect signature.</x:v>
      </x:c>
      <x:c r="F14" s="47" t="str">
        <x:v>Invalid Stripe signature is rejected</x:v>
      </x:c>
      <x:c r="G14" s="47" t="str">
        <x:v>Security</x:v>
      </x:c>
      <x:c r="H14" s="53" t="str">
        <x:v>P0</x:v>
      </x:c>
      <x:c r="I14" s="53" t="str">
        <x:v>Critical</x:v>
      </x:c>
      <x:c r="J14" s="47" t="str">
        <x:v>External caller</x:v>
      </x:c>
      <x:c r="K14" s="47" t="str">
        <x:v>Stripe test credentials/webhook secret or mocks; trialing/active/past_due/cancelled/expired agencies; test plans.</x:v>
      </x:c>
      <x:c r="L14" s="47" t="str">
        <x:v>Plan code, Stripe session/customer/subscription/event IDs, valid/invalid signatures, duplicated/out-of-order events.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Stripe test credentials/webhook secret or mocks; trialing/active/past_due/cancelled/expired agencies; test plans.
2. Sign in/use role: External caller.
3. Navigate to /billing, /payment-required and capture the initial UI/API/database state.
4. Execute: POST realistic webhook with missing/incorrect signature.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14" s="47" t="str">
        <x:v>Event is rejected before agency/subscription mutation.</x:v>
      </x:c>
      <x:c r="P14" s="47" t="str">
        <x:v>No Subscription/Payment/Agency changes.</x:v>
      </x:c>
      <x:c r="Q14" s="47" t="str">
        <x:v>POST webhook returns 400 authentication/validation response.</x:v>
      </x:c>
      <x:c r="R14" s="47" t="str">
        <x:v>Billing UI unchanged.</x:v>
      </x:c>
      <x:c r="S14" s="47" t="str">
        <x:v>No email/access change.</x:v>
      </x:c>
      <x:c r="T14" s="47" t="str">
        <x:v>Authentication gate, Stripe API/webhooks, platform admin, agency access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BILL-011</x:v>
      </x:c>
      <x:c r="B15" s="47" t="str">
        <x:v>Agency SaaS Subscription Billing</x:v>
      </x:c>
      <x:c r="C15" s="47" t="str">
        <x:v>Agency SaaS Subscription Billing</x:v>
      </x:c>
      <x:c r="D15" s="47" t="str">
        <x:v>Duplicate Stripe webhook is idempotent</x:v>
      </x:c>
      <x:c r="E15" s="47" t="str">
        <x:v>Deliver identical signed event ID/payload twice.</x:v>
      </x:c>
      <x:c r="F15" s="47" t="str">
        <x:v>Duplicate Stripe webhook is idempotent</x:v>
      </x:c>
      <x:c r="G15" s="47" t="str">
        <x:v>Idempotency</x:v>
      </x:c>
      <x:c r="H15" s="53" t="str">
        <x:v>P0</x:v>
      </x:c>
      <x:c r="I15" s="53" t="str">
        <x:v>Critical</x:v>
      </x:c>
      <x:c r="J15" s="47" t="str">
        <x:v>Stripe webhook system</x:v>
      </x:c>
      <x:c r="K15" s="47" t="str">
        <x:v>Stripe test credentials/webhook secret or mocks; trialing/active/past_due/cancelled/expired agencies; test plans.</x:v>
      </x:c>
      <x:c r="L15" s="47" t="str">
        <x:v>Plan code, Stripe session/customer/subscription/event IDs, valid/invalid signatures, duplicated/out-of-order events.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Stripe test credentials/webhook secret or mocks; trialing/active/past_due/cancelled/expired agencies; test plans.
2. Sign in/use role: Stripe webhook system.
3. Navigate to /billing, /payment-required and capture the initial UI/API/database state.
4. Execute: Deliver identical signed event ID/payload twice.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15" s="47" t="str">
        <x:v>Second delivery does not duplicate payment records or incorrectly advance/reverse status.</x:v>
      </x:c>
      <x:c r="P15" s="47" t="str">
        <x:v>One logical provider event/payment effect.</x:v>
      </x:c>
      <x:c r="Q15" s="47" t="str">
        <x:v>Both requests acknowledged safely; no 500.</x:v>
      </x:c>
      <x:c r="R15" s="47" t="str">
        <x:v>Billing history shows one event/payment.</x:v>
      </x:c>
      <x:c r="S15" s="47" t="str">
        <x:v>Access gate changes once.</x:v>
      </x:c>
      <x:c r="T15" s="47" t="str">
        <x:v>Authentication gate, Stripe API/webhooks, platform admin, agency access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0" t="str">
        <x:v>BILL-012</x:v>
      </x:c>
      <x:c r="B16" s="47" t="str">
        <x:v>Agency SaaS Subscription Billing</x:v>
      </x:c>
      <x:c r="C16" s="47" t="str">
        <x:v>Agency SaaS Subscription Billing</x:v>
      </x:c>
      <x:c r="D16" s="47" t="str">
        <x:v>Stripe unavailable during checkout</x:v>
      </x:c>
      <x:c r="E16" s="47" t="str">
        <x:v>Mock timeout/5xx/invalid response and missing configuration.</x:v>
      </x:c>
      <x:c r="F16" s="47" t="str">
        <x:v>Stripe unavailable during checkout</x:v>
      </x:c>
      <x:c r="G16" s="47" t="str">
        <x:v>Recovery</x:v>
      </x:c>
      <x:c r="H16" s="53" t="str">
        <x:v>P1</x:v>
      </x:c>
      <x:c r="I16" s="53" t="str">
        <x:v>High</x:v>
      </x:c>
      <x:c r="J16" s="47" t="str">
        <x:v>Agency Owner</x:v>
      </x:c>
      <x:c r="K16" s="47" t="str">
        <x:v>Stripe test credentials/webhook secret or mocks; trialing/active/past_due/cancelled/expired agencies; test plans.</x:v>
      </x:c>
      <x:c r="L16" s="47" t="str">
        <x:v>Plan code, Stripe session/customer/subscription/event IDs, valid/invalid signatures, duplicated/out-of-order events.</x:v>
      </x:c>
      <x:c r="M1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7" t="str">
        <x:v>1. Prepare: Stripe test credentials/webhook secret or mocks; trialing/active/past_due/cancelled/expired agencies; test plans.
2. Sign in/use role: Agency Owner.
3. Navigate to /billing, /payment-required and capture the initial UI/API/database state.
4. Execute: Mock timeout/5xx/invalid response and missing configuration.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16" s="47" t="str">
        <x:v>No local paid state is granted; user receives safe retry/configuration error.</x:v>
      </x:c>
      <x:c r="P16" s="47" t="str">
        <x:v>Subscription/Agency payment state unchanged.</x:v>
      </x:c>
      <x:c r="Q16" s="47" t="str">
        <x:v>Missing config 503; provider failure 502 according to view.</x:v>
      </x:c>
      <x:c r="R16" s="47" t="str">
        <x:v>Billing page shows actionable failure and retains plan selection.</x:v>
      </x:c>
      <x:c r="S16" s="47" t="str">
        <x:v>No checkout redirect or property-payment behavior.</x:v>
      </x:c>
      <x:c r="T16" s="47" t="str">
        <x:v>Authentication gate, Stripe API/webhooks, platform admin, agency access</x:v>
      </x:c>
      <x:c r="U16" s="47" t="str">
        <x:v>Restore mutated fixture state where required; retain evidence (request/response, screenshots, SQL counts and logs).</x:v>
      </x:c>
      <x:c r="V16" s="47" t="str"/>
      <x:c r="W16" s="53" t="str">
        <x:v>Not Run</x:v>
      </x:c>
      <x:c r="X16" s="53" t="str"/>
      <x:c r="Y16" s="53" t="str">
        <x:v>Maybe</x:v>
      </x:c>
      <x:c r="Z16" s="47" t="str">
        <x:v>Current implementation. If observed behavior differs, log a defect; do not replace actual behavior with an unimplemented recommendation.</x:v>
      </x:c>
    </x:row>
    <x:row r="17" ht="78" customHeight="1">
      <x:c r="A17" s="51" t="str">
        <x:v>BILL-013</x:v>
      </x:c>
      <x:c r="B17" s="48" t="str">
        <x:v>Agency SaaS Subscription Billing</x:v>
      </x:c>
      <x:c r="C17" s="48" t="str">
        <x:v>Agency SaaS Subscription Billing</x:v>
      </x:c>
      <x:c r="D17" s="48" t="str">
        <x:v>Property transactions never invoke Stripe</x:v>
      </x:c>
      <x:c r="E17" s="48" t="str">
        <x:v>Create property, inquiry, site visit, deal, accepted offer and lease while tracing network/provider mocks.</x:v>
      </x:c>
      <x:c r="F17" s="48" t="str">
        <x:v>Property transactions never invoke Stripe</x:v>
      </x:c>
      <x:c r="G17" s="48" t="str">
        <x:v>Regression</x:v>
      </x:c>
      <x:c r="H17" s="54" t="str">
        <x:v>P0</x:v>
      </x:c>
      <x:c r="I17" s="54" t="str">
        <x:v>Critical</x:v>
      </x:c>
      <x:c r="J17" s="48" t="str">
        <x:v>Agency user/Public visitor</x:v>
      </x:c>
      <x:c r="K17" s="48" t="str">
        <x:v>Stripe test credentials/webhook secret or mocks; trialing/active/past_due/cancelled/expired agencies; test plans.</x:v>
      </x:c>
      <x:c r="L17" s="48" t="str">
        <x:v>Plan code, Stripe session/customer/subscription/event IDs, valid/invalid signatures, duplicated/out-of-order events.</x:v>
      </x:c>
      <x:c r="M17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7" s="48" t="str">
        <x:v>1. Prepare: Stripe test credentials/webhook secret or mocks; trialing/active/past_due/cancelled/expired agencies; test plans.
2. Sign in/use role: Agency user/Public visitor.
3. Navigate to /billing, /payment-required and capture the initial UI/API/database state.
4. Execute: Create property, inquiry, site visit, deal, accepted offer and lease while tracing network/provider mocks.
5. Inspect the network request/response against: GET /api/operations/subscriptions/; POST checkout; POST billing-portal; GET subscription-plans; POST /api/webhooks/stripe/; DEBUG-only mark-paid endpoint.
6. Refresh/re-query the feature and related modules: Authentication gate, Stripe API/webhooks, platform admin, agency access.
7. Verify affected models (SubscriptionPlan, Subscription, SubscriptionPayment, Agency payment fields) and all listed side effects.</x:v>
      </x:c>
      <x:c r="O17" s="48" t="str">
        <x:v>No Stripe checkout/webhook/payment mutation occurs for real-estate transaction flow.</x:v>
      </x:c>
      <x:c r="P17" s="48" t="str">
        <x:v>Subscription tables unchanged.</x:v>
      </x:c>
      <x:c r="Q17" s="48" t="str">
        <x:v>Only explicit SaaS billing endpoints call Stripe.</x:v>
      </x:c>
      <x:c r="R17" s="48" t="str">
        <x:v>No pay-now button appears in property/deal/lease flows.</x:v>
      </x:c>
      <x:c r="S17" s="48" t="str">
        <x:v>Cash/direct bank handling remains outside current system.</x:v>
      </x:c>
      <x:c r="T17" s="48" t="str">
        <x:v>Authentication gate, Stripe API/webhooks, platform admin, agency access</x:v>
      </x:c>
      <x:c r="U17" s="48" t="str">
        <x:v>Restore mutated fixture state where required; retain evidence (request/response, screenshots, SQL counts and logs).</x:v>
      </x:c>
      <x:c r="V17" s="48" t="str"/>
      <x:c r="W17" s="54" t="str">
        <x:v>Not Run</x:v>
      </x:c>
      <x:c r="X17" s="54" t="str"/>
      <x:c r="Y17" s="54" t="str">
        <x:v>Yes</x:v>
      </x:c>
      <x:c r="Z17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7">
    <x:cfRule type="expression" dxfId="184" priority="1">
      <x:formula>H5="P0"</x:formula>
    </x:cfRule>
    <x:cfRule type="expression" dxfId="185" priority="2">
      <x:formula>H5="P1"</x:formula>
    </x:cfRule>
    <x:cfRule type="expression" dxfId="186" priority="3">
      <x:formula>H5="P2"</x:formula>
    </x:cfRule>
    <x:cfRule type="expression" dxfId="187" priority="4">
      <x:formula>H5="P3"</x:formula>
    </x:cfRule>
  </x:conditionalFormatting>
  <x:conditionalFormatting sqref="W5:W17">
    <x:cfRule type="expression" dxfId="188" priority="5">
      <x:formula>W5="Passed"</x:formula>
    </x:cfRule>
    <x:cfRule type="expression" dxfId="189" priority="6">
      <x:formula>W5="Failed"</x:formula>
    </x:cfRule>
    <x:cfRule type="expression" dxfId="190" priority="7">
      <x:formula>W5="Blocked"</x:formula>
    </x:cfRule>
    <x:cfRule type="expression" dxfId="191" priority="8">
      <x:formula>W5="Skipped"</x:formula>
    </x:cfRule>
  </x:conditionalFormatting>
  <x:dataValidations count="4">
    <x:dataValidation type="list" sqref="H5:H17">
      <x:formula1>"P0,P1,P2,P3"</x:formula1>
    </x:dataValidation>
    <x:dataValidation type="list" sqref="I5:I17">
      <x:formula1>"Critical,High,Medium,Low"</x:formula1>
    </x:dataValidation>
    <x:dataValidation type="list" sqref="W5:W17">
      <x:formula1>"Not Run,Passed,Failed,Blocked,Skipped"</x:formula1>
    </x:dataValidation>
    <x:dataValidation type="list" sqref="Y5:Y17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915fe2fa2b4278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Platform Administration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11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ADMIN-001</x:v>
      </x:c>
      <x:c r="B5" s="46" t="str">
        <x:v>Platform Administration</x:v>
      </x:c>
      <x:c r="C5" s="46" t="str">
        <x:v>Platform Administration</x:v>
      </x:c>
      <x:c r="D5" s="46" t="str">
        <x:v>Complete the primary Platform Administration workflow</x:v>
      </x:c>
      <x:c r="E5" s="46" t="str">
        <x:v>Search agencies, inspect one, suspend it, verify internal/public access, then restore it.</x:v>
      </x:c>
      <x:c r="F5" s="46" t="str">
        <x:v>Complete the primary Platform Administration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Super Admin only</x:v>
      </x:c>
      <x:c r="K5" s="46" t="str">
        <x:v>Super admin and regular owners; multiple agencies with data; paid/unpaid/suspended states.</x:v>
      </x:c>
      <x:c r="L5" s="46" t="str">
        <x:v>Agency status/payment/public flags and search terms; tenant IDs.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Super admin and regular owners; multiple agencies with data; paid/unpaid/suspended states.
2. Sign in/use role: Super Admin only.
3. Navigate to /platform-admin and capture the initial UI/API/database state.
4. Execute: Search agencies, inspect one, suspend it, verify internal/public access, then restore it.
5. Inspect the network request/response against: GET/PATCH /api/operations/platform-agencies/; GET /api/operations/admin/summary/.
6. Refresh/re-query the feature and related modules: Authentication/entitlement, public storefront, reports, audit logs.
7. Verify affected models (Agency, AgencyUser, Property, AuditLog, Subscription) and all listed side effects.</x:v>
      </x:c>
      <x:c r="O5" s="46" t="str">
        <x:v>Only super admin can act; suspension/public/payment changes take effect across auth and public visibility without deleting tenant data.</x:v>
      </x:c>
      <x:c r="P5" s="46" t="str">
        <x:v>Agency fields and AuditLog update; child users/properties/leads remain.</x:v>
      </x:c>
      <x:c r="Q5" s="46" t="str">
        <x:v>Use the documented routes: GET/PATCH /api/operations/platform-agencies/; GET /api/operations/admin/summary/. Successful create operations return 201, reads/updates/actions 200, and deletes 204 where provided; capture exact endpoint-specific response.</x:v>
      </x:c>
      <x:c r="R5" s="46" t="str">
        <x:v>Start at /platform-admin. The visible state must match the saved API response after refresh.</x:v>
      </x:c>
      <x:c r="S5" s="46" t="str">
        <x:v>JWT entitlement, public site/listings, billing status and platform metrics change.</x:v>
      </x:c>
      <x:c r="T5" s="46" t="str">
        <x:v>Authentication/entitlement, public storefront, reports, audit logs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ADMIN-002</x:v>
      </x:c>
      <x:c r="B6" s="47" t="str">
        <x:v>Platform Administration</x:v>
      </x:c>
      <x:c r="C6" s="47" t="str">
        <x:v>Platform Administration</x:v>
      </x:c>
      <x:c r="D6" s="47" t="str">
        <x:v>Reject invalid or missing Platform Administration inputs</x:v>
      </x:c>
      <x:c r="E6" s="47" t="str">
        <x:v>Reject regular staff, unsupported protected mutations, invalid payment/status combinations, self-created tenant links and missing agencies.</x:v>
      </x:c>
      <x:c r="F6" s="47" t="str">
        <x:v>Reject invalid or missing Platform Administration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Super Admin only</x:v>
      </x:c>
      <x:c r="K6" s="47" t="str">
        <x:v>Super admin and regular owners; multiple agencies with data; paid/unpaid/suspended states.</x:v>
      </x:c>
      <x:c r="L6" s="47" t="str">
        <x:v>Agency status/payment/public flags and search terms; tenant IDs.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Super admin and regular owners; multiple agencies with data; paid/unpaid/suspended states.
2. Sign in/use role: Super Admin only.
3. Navigate to /platform-admin and capture the initial UI/API/database state.
4. Execute: Reject regular staff, unsupported protected mutations, invalid payment/status combinations, self-created tenant links and missing agencies.
5. Inspect the network request/response against: GET/PATCH /api/operations/platform-agencies/; GET /api/operations/admin/summary/.
6. Refresh/re-query the feature and related modules: Authentication/entitlement, public storefront, reports, audit logs.
7. Verify affected models (Agency, AgencyUser, Property, AuditLog, Subscription)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Authentication/entitlement, public storefront, reports, audit logs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ADMIN-003</x:v>
      </x:c>
      <x:c r="B7" s="47" t="str">
        <x:v>Platform Administration</x:v>
      </x:c>
      <x:c r="C7" s="47" t="str">
        <x:v>Platform Administration</x:v>
      </x:c>
      <x:c r="D7" s="47" t="str">
        <x:v>Enforce Platform Administration role permissions</x:v>
      </x:c>
      <x:c r="E7" s="47" t="str">
        <x:v>ROLE_SUPER_ADMIN or Django superuser only; agency users receive 403 even if they guess routes.</x:v>
      </x:c>
      <x:c r="F7" s="47" t="str">
        <x:v>Enforce Platform Administration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Super admin and regular owners; multiple agencies with data; paid/unpaid/suspended states.</x:v>
      </x:c>
      <x:c r="L7" s="47" t="str">
        <x:v>Agency status/payment/public flags and search terms; tenant IDs.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Super admin and regular owners; multiple agencies with data; paid/unpaid/suspended states.
2. Sign in/use role: Exercise every listed role plus an unauthenticated caller.
3. Navigate to /platform-admin and capture the initial UI/API/database state.
4. Execute: ROLE_SUPER_ADMIN or Django superuser only; agency users receive 403 even if they guess routes.
5. Inspect the network request/response against: GET/PATCH /api/operations/platform-agencies/; GET /api/operations/admin/summary/.
6. Refresh/re-query the feature and related modules: Authentication/entitlement, public storefront, reports, audit logs.
7. Verify affected models (Agency, AgencyUser, Property, AuditLog, Subscription)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Authentication/entitlement, public storefront, reports, audit logs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ADMIN-004</x:v>
      </x:c>
      <x:c r="B8" s="47" t="str">
        <x:v>Platform Administration</x:v>
      </x:c>
      <x:c r="C8" s="47" t="str">
        <x:v>Platform Administration</x:v>
      </x:c>
      <x:c r="D8" s="47" t="str">
        <x:v>Prevent cross-tenant access in Platform Administration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Platform Administration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Super admin and regular owners; multiple agencies with data; paid/unpaid/suspended states.</x:v>
      </x:c>
      <x:c r="L8" s="47" t="str">
        <x:v>Agency status/payment/public flags and search terms; tenant IDs.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Super admin and regular owners; multiple agencies with data; paid/unpaid/suspended states.
2. Sign in/use role: Agency A authenticated user and Agency B fixture.
3. Navigate to /platform-admin and capture the initial UI/API/database state.
4. Execute: Substitute Agency B object IDs, related IDs, slugs, files and filter parameters into every Agency A list/detail/create/update/delete/action request.
5. Inspect the network request/response against: GET/PATCH /api/operations/platform-agencies/; GET /api/operations/admin/summary/.
6. Refresh/re-query the feature and related modules: Authentication/entitlement, public storefront, reports, audit logs.
7. Verify affected models (Agency, AgencyUser, Property, AuditLog, Subscription)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Authentication/entitlement, public storefront, reports, audit logs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ADMIN-005</x:v>
      </x:c>
      <x:c r="B9" s="47" t="str">
        <x:v>Platform Administration</x:v>
      </x:c>
      <x:c r="C9" s="47" t="str">
        <x:v>Platform Administration</x:v>
      </x:c>
      <x:c r="D9" s="47" t="str">
        <x:v>Verify Platform Administration list, search and filter scoping</x:v>
      </x:c>
      <x:c r="E9" s="47" t="str">
        <x:v>Platform search across name/license only for super admin.</x:v>
      </x:c>
      <x:c r="F9" s="47" t="str">
        <x:v>Verify Platform Administration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Super Admin only</x:v>
      </x:c>
      <x:c r="K9" s="47" t="str">
        <x:v>Super admin and regular owners; multiple agencies with data; paid/unpaid/suspended states.</x:v>
      </x:c>
      <x:c r="L9" s="47" t="str">
        <x:v>Agency status/payment/public flags and search terms; tenant IDs.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Super admin and regular owners; multiple agencies with data; paid/unpaid/suspended states.
2. Sign in/use role: Super Admin only.
3. Navigate to /platform-admin and capture the initial UI/API/database state.
4. Execute: Platform search across name/license only for super admin.
5. Inspect the network request/response against: GET/PATCH /api/operations/platform-agencies/; GET /api/operations/admin/summary/.
6. Refresh/re-query the feature and related modules: Authentication/entitlement, public storefront, reports, audit logs.
7. Verify affected models (Agency, AgencyUser, Property, AuditLog, Subscription)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Authentication/entitlement, public storefront, reports, audit logs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ADMIN-006</x:v>
      </x:c>
      <x:c r="B10" s="47" t="str">
        <x:v>Platform Administration</x:v>
      </x:c>
      <x:c r="C10" s="47" t="str">
        <x:v>Platform Administration</x:v>
      </x:c>
      <x:c r="D10" s="47" t="str">
        <x:v>Test duplicate submission and idempotency for Platform Administration</x:v>
      </x:c>
      <x:c r="E10" s="47" t="str">
        <x:v>Double-click/submit identical requests sequentially and concurrently. Current rule: Repeated same update is safe; paid_at initializes when marking paid if absent.</x:v>
      </x:c>
      <x:c r="F10" s="47" t="str">
        <x:v>Test duplicate submission and idempotency for Platform Administration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Super Admin only</x:v>
      </x:c>
      <x:c r="K10" s="47" t="str">
        <x:v>Super admin and regular owners; multiple agencies with data; paid/unpaid/suspended states.</x:v>
      </x:c>
      <x:c r="L10" s="47" t="str">
        <x:v>Agency status/payment/public flags and search terms; tenant IDs.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Super admin and regular owners; multiple agencies with data; paid/unpaid/suspended states.
2. Sign in/use role: Super Admin only.
3. Navigate to /platform-admin and capture the initial UI/API/database state.
4. Execute: Double-click/submit identical requests sequentially and concurrently. Current rule: Repeated same update is safe; paid_at initializes when marking paid if absent.
5. Inspect the network request/response against: GET/PATCH /api/operations/platform-agencies/; GET /api/operations/admin/summary/.
6. Refresh/re-query the feature and related modules: Authentication/entitlement, public storefront, reports, audit logs.
7. Verify affected models (Agency, AgencyUser, Property, AuditLog, Subscription)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Authentication/entitlement, public storefront, reports, audit logs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ADMIN-007</x:v>
      </x:c>
      <x:c r="B11" s="47" t="str">
        <x:v>Platform Administration</x:v>
      </x:c>
      <x:c r="C11" s="47" t="str">
        <x:v>Platform Administration</x:v>
      </x:c>
      <x:c r="D11" s="47" t="str">
        <x:v>Verify deletion and dependency behavior for Platform Administration</x:v>
      </x:c>
      <x:c r="E11" s="47" t="str">
        <x:v>Delete an unreferenced record, a referenced record, a foreign-tenant record, and an already-deleted ID. Current rule: PlatformAgencyViewSet exposes no delete; agencies are updated/suspended rather than deleted.</x:v>
      </x:c>
      <x:c r="F11" s="47" t="str">
        <x:v>Verify deletion and dependency behavior for Platform Administration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Super admin and regular owners; multiple agencies with data; paid/unpaid/suspended states.</x:v>
      </x:c>
      <x:c r="L11" s="47" t="str">
        <x:v>Agency status/payment/public flags and search terms; tenant IDs.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Super admin and regular owners; multiple agencies with data; paid/unpaid/suspended states.
2. Sign in/use role: Agency Owner or Agency Manager.
3. Navigate to /platform-admin and capture the initial UI/API/database state.
4. Execute: Delete an unreferenced record, a referenced record, a foreign-tenant record, and an already-deleted ID. Current rule: PlatformAgencyViewSet exposes no delete; agencies are updated/suspended rather than deleted.
5. Inspect the network request/response against: GET/PATCH /api/operations/platform-agencies/; GET /api/operations/admin/summary/.
6. Refresh/re-query the feature and related modules: Authentication/entitlement, public storefront, reports, audit logs.
7. Verify affected models (Agency, AgencyUser, Property, AuditLog, Subscription)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Authentication/entitlement, public storefront, reports, audit logs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ADMIN-008</x:v>
      </x:c>
      <x:c r="B12" s="47" t="str">
        <x:v>Platform Administration</x:v>
      </x:c>
      <x:c r="C12" s="47" t="str">
        <x:v>Platform Administration</x:v>
      </x:c>
      <x:c r="D12" s="47" t="str">
        <x:v>Recover cleanly from API/network failure during Platform Administration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Platform Administration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Super Admin only</x:v>
      </x:c>
      <x:c r="K12" s="47" t="str">
        <x:v>Super admin and regular owners; multiple agencies with data; paid/unpaid/suspended states.</x:v>
      </x:c>
      <x:c r="L12" s="47" t="str">
        <x:v>Agency status/payment/public flags and search terms; tenant IDs.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Super admin and regular owners; multiple agencies with data; paid/unpaid/suspended states.
2. Sign in/use role: Super Admin only.
3. Navigate to /platform-admin and capture the initial UI/API/database state.
4. Execute: Simulate timeout, offline browser, 500 response, expired access token and failed refresh while submitting the primary workflow.
5. Inspect the network request/response against: GET/PATCH /api/operations/platform-agencies/; GET /api/operations/admin/summary/.
6. Refresh/re-query the feature and related modules: Authentication/entitlement, public storefront, reports, audit logs.
7. Verify affected models (Agency, AgencyUser, Property, AuditLog, Subscription)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Authentication/entitlement, public storefront, reports, audit logs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ADMIN-009</x:v>
      </x:c>
      <x:c r="B13" s="47" t="str">
        <x:v>Platform Administration</x:v>
      </x:c>
      <x:c r="C13" s="47" t="str">
        <x:v>Platform Administration</x:v>
      </x:c>
      <x:c r="D13" s="47" t="str">
        <x:v>Regular owner cannot access platform agencies</x:v>
      </x:c>
      <x:c r="E13" s="47" t="str">
        <x:v>List/detail/update platform-agencies and call admin summary.</x:v>
      </x:c>
      <x:c r="F13" s="47" t="str">
        <x:v>Regular owner cannot access platform agencies</x:v>
      </x:c>
      <x:c r="G13" s="47" t="str">
        <x:v>Permission</x:v>
      </x:c>
      <x:c r="H13" s="53" t="str">
        <x:v>P0</x:v>
      </x:c>
      <x:c r="I13" s="53" t="str">
        <x:v>Critical</x:v>
      </x:c>
      <x:c r="J13" s="47" t="str">
        <x:v>Agency Owner</x:v>
      </x:c>
      <x:c r="K13" s="47" t="str">
        <x:v>Super admin and regular owners; multiple agencies with data; paid/unpaid/suspended states.</x:v>
      </x:c>
      <x:c r="L13" s="47" t="str">
        <x:v>Agency status/payment/public flags and search terms; tenant IDs.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Super admin and regular owners; multiple agencies with data; paid/unpaid/suspended states.
2. Sign in/use role: Agency Owner.
3. Navigate to /platform-admin and capture the initial UI/API/database state.
4. Execute: List/detail/update platform-agencies and call admin summary.
5. Inspect the network request/response against: GET/PATCH /api/operations/platform-agencies/; GET /api/operations/admin/summary/.
6. Refresh/re-query the feature and related modules: Authentication/entitlement, public storefront, reports, audit logs.
7. Verify affected models (Agency, AgencyUser, Property, AuditLog, Subscription) and all listed side effects.</x:v>
      </x:c>
      <x:c r="O13" s="47" t="str">
        <x:v>All requests are forbidden with no data leak.</x:v>
      </x:c>
      <x:c r="P13" s="47" t="str">
        <x:v>No rows change.</x:v>
      </x:c>
      <x:c r="Q13" s="47" t="str">
        <x:v>Endpoints return 403.</x:v>
      </x:c>
      <x:c r="R13" s="47" t="str">
        <x:v>Platform page/navigation unavailable; direct route shows forbidden.</x:v>
      </x:c>
      <x:c r="S13" s="47" t="str">
        <x:v>No audit entry for rejected reads/writes.</x:v>
      </x:c>
      <x:c r="T13" s="47" t="str">
        <x:v>Authentication/entitlement, public storefront, reports, audit logs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ADMIN-010</x:v>
      </x:c>
      <x:c r="B14" s="47" t="str">
        <x:v>Platform Administration</x:v>
      </x:c>
      <x:c r="C14" s="47" t="str">
        <x:v>Platform Administration</x:v>
      </x:c>
      <x:c r="D14" s="47" t="str">
        <x:v>Suspending an agency blocks every surface</x:v>
      </x:c>
      <x:c r="E14" s="47" t="str">
        <x:v>Suspend Agency A, then test existing JWT, login, public agency/property/customer endpoints and short links.</x:v>
      </x:c>
      <x:c r="F14" s="47" t="str">
        <x:v>Suspending an agency blocks every surface</x:v>
      </x:c>
      <x:c r="G14" s="47" t="str">
        <x:v>End-to-End</x:v>
      </x:c>
      <x:c r="H14" s="53" t="str">
        <x:v>P0</x:v>
      </x:c>
      <x:c r="I14" s="53" t="str">
        <x:v>Critical</x:v>
      </x:c>
      <x:c r="J14" s="47" t="str">
        <x:v>Super Admin</x:v>
      </x:c>
      <x:c r="K14" s="47" t="str">
        <x:v>Super admin and regular owners; multiple agencies with data; paid/unpaid/suspended states.</x:v>
      </x:c>
      <x:c r="L14" s="47" t="str">
        <x:v>Agency status/payment/public flags and search terms; tenant IDs.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Super admin and regular owners; multiple agencies with data; paid/unpaid/suspended states.
2. Sign in/use role: Super Admin.
3. Navigate to /platform-admin and capture the initial UI/API/database state.
4. Execute: Suspend Agency A, then test existing JWT, login, public agency/property/customer endpoints and short links.
5. Inspect the network request/response against: GET/PATCH /api/operations/platform-agencies/; GET /api/operations/admin/summary/.
6. Refresh/re-query the feature and related modules: Authentication/entitlement, public storefront, reports, audit logs.
7. Verify affected models (Agency, AgencyUser, Property, AuditLog, Subscription) and all listed side effects.</x:v>
      </x:c>
      <x:c r="O14" s="47" t="str">
        <x:v>All tenant staff/public access gates behave consistently while data remains retained.</x:v>
      </x:c>
      <x:c r="P14" s="47" t="str">
        <x:v>Agency status changes; business rows untouched.</x:v>
      </x:c>
      <x:c r="Q14" s="47" t="str">
        <x:v>Platform PATCH 200; subsequent protected/public calls rejected/404.</x:v>
      </x:c>
      <x:c r="R14" s="47" t="str">
        <x:v>Internal users are signed out/blocked; storefront unavailable.</x:v>
      </x:c>
      <x:c r="S14" s="47" t="str">
        <x:v>Scheduler should not process/send tenant public activity if eligibility excludes it.</x:v>
      </x:c>
      <x:c r="T14" s="47" t="str">
        <x:v>Authentication/entitlement, public storefront, reports, audit logs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1" t="str">
        <x:v>ADMIN-011</x:v>
      </x:c>
      <x:c r="B15" s="48" t="str">
        <x:v>Platform Administration</x:v>
      </x:c>
      <x:c r="C15" s="48" t="str">
        <x:v>Platform Administration</x:v>
      </x:c>
      <x:c r="D15" s="48" t="str">
        <x:v>Marking paid stamps paid_at once</x:v>
      </x:c>
      <x:c r="E15" s="48" t="str">
        <x:v>PATCH unpaid agency to paid twice.</x:v>
      </x:c>
      <x:c r="F15" s="48" t="str">
        <x:v>Marking paid stamps paid_at once</x:v>
      </x:c>
      <x:c r="G15" s="48" t="str">
        <x:v>Idempotency</x:v>
      </x:c>
      <x:c r="H15" s="54" t="str">
        <x:v>P1</x:v>
      </x:c>
      <x:c r="I15" s="54" t="str">
        <x:v>High</x:v>
      </x:c>
      <x:c r="J15" s="48" t="str">
        <x:v>Super Admin</x:v>
      </x:c>
      <x:c r="K15" s="48" t="str">
        <x:v>Super admin and regular owners; multiple agencies with data; paid/unpaid/suspended states.</x:v>
      </x:c>
      <x:c r="L15" s="48" t="str">
        <x:v>Agency status/payment/public flags and search terms; tenant IDs.</x:v>
      </x:c>
      <x:c r="M15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8" t="str">
        <x:v>1. Prepare: Super admin and regular owners; multiple agencies with data; paid/unpaid/suspended states.
2. Sign in/use role: Super Admin.
3. Navigate to /platform-admin and capture the initial UI/API/database state.
4. Execute: PATCH unpaid agency to paid twice.
5. Inspect the network request/response against: GET/PATCH /api/operations/platform-agencies/; GET /api/operations/admin/summary/.
6. Refresh/re-query the feature and related modules: Authentication/entitlement, public storefront, reports, audit logs.
7. Verify affected models (Agency, AgencyUser, Property, AuditLog, Subscription) and all listed side effects.</x:v>
      </x:c>
      <x:c r="O15" s="48" t="str">
        <x:v>paid_at is set on first transition and not needlessly changed on identical second update.</x:v>
      </x:c>
      <x:c r="P15" s="48" t="str">
        <x:v>Agency payment_status paid; one stable paid_at; audit behavior recorded.</x:v>
      </x:c>
      <x:c r="Q15" s="48" t="str">
        <x:v>Both PATCH calls return 200.</x:v>
      </x:c>
      <x:c r="R15" s="48" t="str">
        <x:v>Platform table shows paid state.</x:v>
      </x:c>
      <x:c r="S15" s="48" t="str">
        <x:v>Auth entitlement changes once.</x:v>
      </x:c>
      <x:c r="T15" s="48" t="str">
        <x:v>Authentication/entitlement, public storefront, reports, audit logs</x:v>
      </x:c>
      <x:c r="U15" s="48" t="str">
        <x:v>Restore mutated fixture state where required; retain evidence (request/response, screenshots, SQL counts and logs).</x:v>
      </x:c>
      <x:c r="V15" s="48" t="str"/>
      <x:c r="W15" s="54" t="str">
        <x:v>Not Run</x:v>
      </x:c>
      <x:c r="X15" s="54" t="str"/>
      <x:c r="Y15" s="54" t="str">
        <x:v>Yes</x:v>
      </x:c>
      <x:c r="Z15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5">
    <x:cfRule type="expression" dxfId="192" priority="1">
      <x:formula>H5="P0"</x:formula>
    </x:cfRule>
    <x:cfRule type="expression" dxfId="193" priority="2">
      <x:formula>H5="P1"</x:formula>
    </x:cfRule>
    <x:cfRule type="expression" dxfId="194" priority="3">
      <x:formula>H5="P2"</x:formula>
    </x:cfRule>
    <x:cfRule type="expression" dxfId="195" priority="4">
      <x:formula>H5="P3"</x:formula>
    </x:cfRule>
  </x:conditionalFormatting>
  <x:conditionalFormatting sqref="W5:W15">
    <x:cfRule type="expression" dxfId="196" priority="5">
      <x:formula>W5="Passed"</x:formula>
    </x:cfRule>
    <x:cfRule type="expression" dxfId="197" priority="6">
      <x:formula>W5="Failed"</x:formula>
    </x:cfRule>
    <x:cfRule type="expression" dxfId="198" priority="7">
      <x:formula>W5="Blocked"</x:formula>
    </x:cfRule>
    <x:cfRule type="expression" dxfId="199" priority="8">
      <x:formula>W5="Skipped"</x:formula>
    </x:cfRule>
  </x:conditionalFormatting>
  <x:dataValidations count="4">
    <x:dataValidation type="list" sqref="H5:H15">
      <x:formula1>"P0,P1,P2,P3"</x:formula1>
    </x:dataValidation>
    <x:dataValidation type="list" sqref="I5:I15">
      <x:formula1>"Critical,High,Medium,Low"</x:formula1>
    </x:dataValidation>
    <x:dataValidation type="list" sqref="W5:W15">
      <x:formula1>"Not Run,Passed,Failed,Blocked,Skipped"</x:formula1>
    </x:dataValidation>
    <x:dataValidation type="list" sqref="Y5:Y15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ad518f39934815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Nepal Localization and Bikram Sambat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LOC-001</x:v>
      </x:c>
      <x:c r="B5" s="46" t="str">
        <x:v>Nepal Localization and Bikram Sambat</x:v>
      </x:c>
      <x:c r="C5" s="46" t="str">
        <x:v>Nepal Localization and Bikram Sambat</x:v>
      </x:c>
      <x:c r="D5" s="46" t="str">
        <x:v>Complete the primary Nepal Localization and Bikram Sambat workflow</x:v>
      </x:c>
      <x:c r="E5" s="46" t="str">
        <x:v>Switch localization preferences and verify known dates, numbers, addresses, messages and generated documents across both surfaces.</x:v>
      </x:c>
      <x:c r="F5" s="46" t="str">
        <x:v>Complete the primary Nepal Localization and Bikram Sambat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Agency Owner/Manager configure</x:v>
      </x:c>
      <x:c r="K5" s="46" t="str">
        <x:v>Known BS/AD reference dates including Nepali New Year; Nepal phone/address/price fixtures; English/Nepali settings.</x:v>
      </x:c>
      <x:c r="L5" s="46" t="str">
        <x:v>language, date_system, use_nepali_digits, timezone Asia/Kathmandu, currency style, message templates.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Known BS/AD reference dates including Nepali New Year; Nepal phone/address/price fixtures; English/Nepali settings.
2. Sign in/use role: Agency Owner/Manager configure.
3. Navigate to /settings localization controls; dates/numbers throughout agency UI/storefront/generated assets and capture the initial UI/API/database state.
4. Execute: Switch localization preferences and verify known dates, numbers, addresses, messages and generated documents across both surfaces.
5. Inspect the network request/response against: GET/PATCH /api/agencies/localization/ plus property/distribution/appointment APIs consuming localized fields.
6. Refresh/re-query the feature and related modules: Agency settings, all date/number UI, property distribution PDF/captions, email/messages.
7. Verify affected models (AgencyLocalizationSettings and formatted serializer/helper output) and all listed side effects.</x:v>
      </x:c>
      <x:c r="O5" s="46" t="str">
        <x:v>Known conversions round-trip; stored business values remain canonical while presentation changes; Nepal timezone is enforced.</x:v>
      </x:c>
      <x:c r="P5" s="46" t="str">
        <x:v>Only settings row changes; property/date/price raw values remain unchanged.</x:v>
      </x:c>
      <x:c r="Q5" s="46" t="str">
        <x:v>Use the documented routes: GET/PATCH /api/agencies/localization/ plus property/distribution/appointment APIs consuming localized fields. Successful create operations return 201, reads/updates/actions 200, and deletes 204 where provided; capture exact endpoint-specific response.</x:v>
      </x:c>
      <x:c r="R5" s="46" t="str">
        <x:v>Start at /settings localization controls; dates/numbers throughout agency UI/storefront/generated assets. The visible state must match the saved API response after refresh.</x:v>
      </x:c>
      <x:c r="S5" s="46" t="str">
        <x:v>UI labels/digits, PDFs, captions, alerts and phone links/display change�not underlying workflow state.</x:v>
      </x:c>
      <x:c r="T5" s="46" t="str">
        <x:v>Agency settings, all date/number UI, property distribution PDF/captions, email/messages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LOC-002</x:v>
      </x:c>
      <x:c r="B6" s="47" t="str">
        <x:v>Nepal Localization and Bikram Sambat</x:v>
      </x:c>
      <x:c r="C6" s="47" t="str">
        <x:v>Nepal Localization and Bikram Sambat</x:v>
      </x:c>
      <x:c r="D6" s="47" t="str">
        <x:v>Reject invalid or missing Nepal Localization and Bikram Sambat inputs</x:v>
      </x:c>
      <x:c r="E6" s="47" t="str">
        <x:v>Reject non-Nepal timezone, invalid date/mode/language, malformed phone/template variables and out-of-supported BS range safely.</x:v>
      </x:c>
      <x:c r="F6" s="47" t="str">
        <x:v>Reject invalid or missing Nepal Localization and Bikram Sambat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Agency Owner/Manager configure</x:v>
      </x:c>
      <x:c r="K6" s="47" t="str">
        <x:v>Known BS/AD reference dates including Nepali New Year; Nepal phone/address/price fixtures; English/Nepali settings.</x:v>
      </x:c>
      <x:c r="L6" s="47" t="str">
        <x:v>language, date_system, use_nepali_digits, timezone Asia/Kathmandu, currency style, message templates.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Known BS/AD reference dates including Nepali New Year; Nepal phone/address/price fixtures; English/Nepali settings.
2. Sign in/use role: Agency Owner/Manager configure.
3. Navigate to /settings localization controls; dates/numbers throughout agency UI/storefront/generated assets and capture the initial UI/API/database state.
4. Execute: Reject non-Nepal timezone, invalid date/mode/language, malformed phone/template variables and out-of-supported BS range safely.
5. Inspect the network request/response against: GET/PATCH /api/agencies/localization/ plus property/distribution/appointment APIs consuming localized fields.
6. Refresh/re-query the feature and related modules: Agency settings, all date/number UI, property distribution PDF/captions, email/messages.
7. Verify affected models (AgencyLocalizationSettings and formatted serializer/helper output)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Agency settings, all date/number UI, property distribution PDF/captions, email/messages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LOC-003</x:v>
      </x:c>
      <x:c r="B7" s="47" t="str">
        <x:v>Nepal Localization and Bikram Sambat</x:v>
      </x:c>
      <x:c r="C7" s="47" t="str">
        <x:v>Nepal Localization and Bikram Sambat</x:v>
      </x:c>
      <x:c r="D7" s="47" t="str">
        <x:v>Enforce Nepal Localization and Bikram Sambat role permissions</x:v>
      </x:c>
      <x:c r="E7" s="47" t="str">
        <x:v>Tenant settings apply only to that agency; public sees resolved agency preference without access to settings mutation.</x:v>
      </x:c>
      <x:c r="F7" s="47" t="str">
        <x:v>Enforce Nepal Localization and Bikram Sambat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Known BS/AD reference dates including Nepali New Year; Nepal phone/address/price fixtures; English/Nepali settings.</x:v>
      </x:c>
      <x:c r="L7" s="47" t="str">
        <x:v>language, date_system, use_nepali_digits, timezone Asia/Kathmandu, currency style, message templates.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Known BS/AD reference dates including Nepali New Year; Nepal phone/address/price fixtures; English/Nepali settings.
2. Sign in/use role: Exercise every listed role plus an unauthenticated caller.
3. Navigate to /settings localization controls; dates/numbers throughout agency UI/storefront/generated assets and capture the initial UI/API/database state.
4. Execute: Tenant settings apply only to that agency; public sees resolved agency preference without access to settings mutation.
5. Inspect the network request/response against: GET/PATCH /api/agencies/localization/ plus property/distribution/appointment APIs consuming localized fields.
6. Refresh/re-query the feature and related modules: Agency settings, all date/number UI, property distribution PDF/captions, email/messages.
7. Verify affected models (AgencyLocalizationSettings and formatted serializer/helper output)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Agency settings, all date/number UI, property distribution PDF/captions, email/messages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LOC-004</x:v>
      </x:c>
      <x:c r="B8" s="47" t="str">
        <x:v>Nepal Localization and Bikram Sambat</x:v>
      </x:c>
      <x:c r="C8" s="47" t="str">
        <x:v>Nepal Localization and Bikram Sambat</x:v>
      </x:c>
      <x:c r="D8" s="47" t="str">
        <x:v>Prevent cross-tenant access in Nepal Localization and Bikram Sambat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Nepal Localization and Bikram Sambat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Known BS/AD reference dates including Nepali New Year; Nepal phone/address/price fixtures; English/Nepali settings.</x:v>
      </x:c>
      <x:c r="L8" s="47" t="str">
        <x:v>language, date_system, use_nepali_digits, timezone Asia/Kathmandu, currency style, message templates.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Known BS/AD reference dates including Nepali New Year; Nepal phone/address/price fixtures; English/Nepali settings.
2. Sign in/use role: Agency A authenticated user and Agency B fixture.
3. Navigate to /settings localization controls; dates/numbers throughout agency UI/storefront/generated assets and capture the initial UI/API/database state.
4. Execute: Substitute Agency B object IDs, related IDs, slugs, files and filter parameters into every Agency A list/detail/create/update/delete/action request.
5. Inspect the network request/response against: GET/PATCH /api/agencies/localization/ plus property/distribution/appointment APIs consuming localized fields.
6. Refresh/re-query the feature and related modules: Agency settings, all date/number UI, property distribution PDF/captions, email/messages.
7. Verify affected models (AgencyLocalizationSettings and formatted serializer/helper output)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Agency settings, all date/number UI, property distribution PDF/captions, email/messages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LOC-005</x:v>
      </x:c>
      <x:c r="B9" s="47" t="str">
        <x:v>Nepal Localization and Bikram Sambat</x:v>
      </x:c>
      <x:c r="C9" s="47" t="str">
        <x:v>Nepal Localization and Bikram Sambat</x:v>
      </x:c>
      <x:c r="D9" s="47" t="str">
        <x:v>Verify Nepal Localization and Bikram Sambat list, search and filter scoping</x:v>
      </x:c>
      <x:c r="E9" s="47" t="str">
        <x:v>N/A list; verify all rendered consumers consistently read the same agency setting.</x:v>
      </x:c>
      <x:c r="F9" s="47" t="str">
        <x:v>Verify Nepal Localization and Bikram Sambat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Agency Owner/Manager configure</x:v>
      </x:c>
      <x:c r="K9" s="47" t="str">
        <x:v>Known BS/AD reference dates including Nepali New Year; Nepal phone/address/price fixtures; English/Nepali settings.</x:v>
      </x:c>
      <x:c r="L9" s="47" t="str">
        <x:v>language, date_system, use_nepali_digits, timezone Asia/Kathmandu, currency style, message templates.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Known BS/AD reference dates including Nepali New Year; Nepal phone/address/price fixtures; English/Nepali settings.
2. Sign in/use role: Agency Owner/Manager configure.
3. Navigate to /settings localization controls; dates/numbers throughout agency UI/storefront/generated assets and capture the initial UI/API/database state.
4. Execute: N/A list; verify all rendered consumers consistently read the same agency setting.
5. Inspect the network request/response against: GET/PATCH /api/agencies/localization/ plus property/distribution/appointment APIs consuming localized fields.
6. Refresh/re-query the feature and related modules: Agency settings, all date/number UI, property distribution PDF/captions, email/messages.
7. Verify affected models (AgencyLocalizationSettings and formatted serializer/helper output)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Agency settings, all date/number UI, property distribution PDF/captions, email/messages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LOC-006</x:v>
      </x:c>
      <x:c r="B10" s="47" t="str">
        <x:v>Nepal Localization and Bikram Sambat</x:v>
      </x:c>
      <x:c r="C10" s="47" t="str">
        <x:v>Nepal Localization and Bikram Sambat</x:v>
      </x:c>
      <x:c r="D10" s="47" t="str">
        <x:v>Test duplicate submission and idempotency for Nepal Localization and Bikram Sambat</x:v>
      </x:c>
      <x:c r="E10" s="47" t="str">
        <x:v>Double-click/submit identical requests sequentially and concurrently. Current rule: Conversion/format functions are pure and repeated calls stable.</x:v>
      </x:c>
      <x:c r="F10" s="47" t="str">
        <x:v>Test duplicate submission and idempotency for Nepal Localization and Bikram Sambat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Agency Owner/Manager configure</x:v>
      </x:c>
      <x:c r="K10" s="47" t="str">
        <x:v>Known BS/AD reference dates including Nepali New Year; Nepal phone/address/price fixtures; English/Nepali settings.</x:v>
      </x:c>
      <x:c r="L10" s="47" t="str">
        <x:v>language, date_system, use_nepali_digits, timezone Asia/Kathmandu, currency style, message templates.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Known BS/AD reference dates including Nepali New Year; Nepal phone/address/price fixtures; English/Nepali settings.
2. Sign in/use role: Agency Owner/Manager configure.
3. Navigate to /settings localization controls; dates/numbers throughout agency UI/storefront/generated assets and capture the initial UI/API/database state.
4. Execute: Double-click/submit identical requests sequentially and concurrently. Current rule: Conversion/format functions are pure and repeated calls stable.
5. Inspect the network request/response against: GET/PATCH /api/agencies/localization/ plus property/distribution/appointment APIs consuming localized fields.
6. Refresh/re-query the feature and related modules: Agency settings, all date/number UI, property distribution PDF/captions, email/messages.
7. Verify affected models (AgencyLocalizationSettings and formatted serializer/helper output)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Agency settings, all date/number UI, property distribution PDF/captions, email/messages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LOC-007</x:v>
      </x:c>
      <x:c r="B11" s="47" t="str">
        <x:v>Nepal Localization and Bikram Sambat</x:v>
      </x:c>
      <x:c r="C11" s="47" t="str">
        <x:v>Nepal Localization and Bikram Sambat</x:v>
      </x:c>
      <x:c r="D11" s="47" t="str">
        <x:v>Verify deletion and dependency behavior for Nepal Localization and Bikram Sambat</x:v>
      </x:c>
      <x:c r="E11" s="47" t="str">
        <x:v>Delete an unreferenced record, a referenced record, a foreign-tenant record, and an already-deleted ID. Current rule: Localization settings may reset/update, but business records are never deleted or rewritten solely on display switch.</x:v>
      </x:c>
      <x:c r="F11" s="47" t="str">
        <x:v>Verify deletion and dependency behavior for Nepal Localization and Bikram Sambat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Known BS/AD reference dates including Nepali New Year; Nepal phone/address/price fixtures; English/Nepali settings.</x:v>
      </x:c>
      <x:c r="L11" s="47" t="str">
        <x:v>language, date_system, use_nepali_digits, timezone Asia/Kathmandu, currency style, message templates.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Known BS/AD reference dates including Nepali New Year; Nepal phone/address/price fixtures; English/Nepali settings.
2. Sign in/use role: Agency Owner or Agency Manager.
3. Navigate to /settings localization controls; dates/numbers throughout agency UI/storefront/generated assets and capture the initial UI/API/database state.
4. Execute: Delete an unreferenced record, a referenced record, a foreign-tenant record, and an already-deleted ID. Current rule: Localization settings may reset/update, but business records are never deleted or rewritten solely on display switch.
5. Inspect the network request/response against: GET/PATCH /api/agencies/localization/ plus property/distribution/appointment APIs consuming localized fields.
6. Refresh/re-query the feature and related modules: Agency settings, all date/number UI, property distribution PDF/captions, email/messages.
7. Verify affected models (AgencyLocalizationSettings and formatted serializer/helper output)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Agency settings, all date/number UI, property distribution PDF/captions, email/messages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LOC-008</x:v>
      </x:c>
      <x:c r="B12" s="47" t="str">
        <x:v>Nepal Localization and Bikram Sambat</x:v>
      </x:c>
      <x:c r="C12" s="47" t="str">
        <x:v>Nepal Localization and Bikram Sambat</x:v>
      </x:c>
      <x:c r="D12" s="47" t="str">
        <x:v>Recover cleanly from API/network failure during Nepal Localization and Bikram Sambat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Nepal Localization and Bikram Sambat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Agency Owner/Manager configure</x:v>
      </x:c>
      <x:c r="K12" s="47" t="str">
        <x:v>Known BS/AD reference dates including Nepali New Year; Nepal phone/address/price fixtures; English/Nepali settings.</x:v>
      </x:c>
      <x:c r="L12" s="47" t="str">
        <x:v>language, date_system, use_nepali_digits, timezone Asia/Kathmandu, currency style, message templates.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Known BS/AD reference dates including Nepali New Year; Nepal phone/address/price fixtures; English/Nepali settings.
2. Sign in/use role: Agency Owner/Manager configure.
3. Navigate to /settings localization controls; dates/numbers throughout agency UI/storefront/generated assets and capture the initial UI/API/database state.
4. Execute: Simulate timeout, offline browser, 500 response, expired access token and failed refresh while submitting the primary workflow.
5. Inspect the network request/response against: GET/PATCH /api/agencies/localization/ plus property/distribution/appointment APIs consuming localized fields.
6. Refresh/re-query the feature and related modules: Agency settings, all date/number UI, property distribution PDF/captions, email/messages.
7. Verify affected models (AgencyLocalizationSettings and formatted serializer/helper output)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Agency settings, all date/number UI, property distribution PDF/captions, email/messages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LOC-009</x:v>
      </x:c>
      <x:c r="B13" s="47" t="str">
        <x:v>Nepal Localization and Bikram Sambat</x:v>
      </x:c>
      <x:c r="C13" s="47" t="str">
        <x:v>Nepal Localization and Bikram Sambat</x:v>
      </x:c>
      <x:c r="D13" s="47" t="str">
        <x:v>Known Nepali New Year conversion round-trip</x:v>
      </x:c>
      <x:c r="E13" s="47" t="str">
        <x:v>Convert documented AD New Year reference to BS and back using endpoint/helper consumers.</x:v>
      </x:c>
      <x:c r="F13" s="47" t="str">
        <x:v>Known Nepali New Year conversion round-trip</x:v>
      </x:c>
      <x:c r="G13" s="47" t="str">
        <x:v>Boundary</x:v>
      </x:c>
      <x:c r="H13" s="53" t="str">
        <x:v>P0</x:v>
      </x:c>
      <x:c r="I13" s="53" t="str">
        <x:v>Critical</x:v>
      </x:c>
      <x:c r="J13" s="47" t="str">
        <x:v>QA tester</x:v>
      </x:c>
      <x:c r="K13" s="47" t="str">
        <x:v>Known BS/AD reference dates including Nepali New Year; Nepal phone/address/price fixtures; English/Nepali settings.</x:v>
      </x:c>
      <x:c r="L13" s="47" t="str">
        <x:v>language, date_system, use_nepali_digits, timezone Asia/Kathmandu, currency style, message templates.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Known BS/AD reference dates including Nepali New Year; Nepal phone/address/price fixtures; English/Nepali settings.
2. Sign in/use role: QA tester.
3. Navigate to /settings localization controls; dates/numbers throughout agency UI/storefront/generated assets and capture the initial UI/API/database state.
4. Execute: Convert documented AD New Year reference to BS and back using endpoint/helper consumers.
5. Inspect the network request/response against: GET/PATCH /api/agencies/localization/ plus property/distribution/appointment APIs consuming localized fields.
6. Refresh/re-query the feature and related modules: Agency settings, all date/number UI, property distribution PDF/captions, email/messages.
7. Verify affected models (AgencyLocalizationSettings and formatted serializer/helper output) and all listed side effects.</x:v>
      </x:c>
      <x:c r="O13" s="47" t="str">
        <x:v>Result equals the known BS date and returns to the exact original AD date.</x:v>
      </x:c>
      <x:c r="P13" s="47" t="str">
        <x:v>No business rows change.</x:v>
      </x:c>
      <x:c r="Q13" s="47" t="str">
        <x:v>Localization endpoint returns deterministic conversion response.</x:v>
      </x:c>
      <x:c r="R13" s="47" t="str">
        <x:v>Every date widget/document displays the same result.</x:v>
      </x:c>
      <x:c r="S13" s="47" t="str">
        <x:v>Reminder/expiry instants remain unchanged.</x:v>
      </x:c>
      <x:c r="T13" s="47" t="str">
        <x:v>Agency settings, all date/number UI, property distribution PDF/captions, email/messages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LOC-010</x:v>
      </x:c>
      <x:c r="B14" s="47" t="str">
        <x:v>Nepal Localization and Bikram Sambat</x:v>
      </x:c>
      <x:c r="C14" s="47" t="str">
        <x:v>Nepal Localization and Bikram Sambat</x:v>
      </x:c>
      <x:c r="D14" s="47" t="str">
        <x:v>Non-Nepal timezone is rejected</x:v>
      </x:c>
      <x:c r="E14" s="47" t="str">
        <x:v>PATCH timezone to UTC, Asia/Kolkata and arbitrary string.</x:v>
      </x:c>
      <x:c r="F14" s="47" t="str">
        <x:v>Non-Nepal timezone is rejected</x:v>
      </x:c>
      <x:c r="G14" s="47" t="str">
        <x:v>Validation</x:v>
      </x:c>
      <x:c r="H14" s="53" t="str">
        <x:v>P0</x:v>
      </x:c>
      <x:c r="I14" s="53" t="str">
        <x:v>Critical</x:v>
      </x:c>
      <x:c r="J14" s="47" t="str">
        <x:v>Agency Owner</x:v>
      </x:c>
      <x:c r="K14" s="47" t="str">
        <x:v>Known BS/AD reference dates including Nepali New Year; Nepal phone/address/price fixtures; English/Nepali settings.</x:v>
      </x:c>
      <x:c r="L14" s="47" t="str">
        <x:v>language, date_system, use_nepali_digits, timezone Asia/Kathmandu, currency style, message templates.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Known BS/AD reference dates including Nepali New Year; Nepal phone/address/price fixtures; English/Nepali settings.
2. Sign in/use role: Agency Owner.
3. Navigate to /settings localization controls; dates/numbers throughout agency UI/storefront/generated assets and capture the initial UI/API/database state.
4. Execute: PATCH timezone to UTC, Asia/Kolkata and arbitrary string.
5. Inspect the network request/response against: GET/PATCH /api/agencies/localization/ plus property/distribution/appointment APIs consuming localized fields.
6. Refresh/re-query the feature and related modules: Agency settings, all date/number UI, property distribution PDF/captions, email/messages.
7. Verify affected models (AgencyLocalizationSettings and formatted serializer/helper output) and all listed side effects.</x:v>
      </x:c>
      <x:c r="O14" s="47" t="str">
        <x:v>Serializer rejects anything outside the supported Nepal timezone rule.</x:v>
      </x:c>
      <x:c r="P14" s="47" t="str">
        <x:v>Settings timezone remains Asia/Kathmandu.</x:v>
      </x:c>
      <x:c r="Q14" s="47" t="str">
        <x:v>PATCH returns 400.</x:v>
      </x:c>
      <x:c r="R14" s="47" t="str">
        <x:v>Settings shows field error and keeps prior selection.</x:v>
      </x:c>
      <x:c r="S14" s="47" t="str">
        <x:v>Appointments/reminders do not shift.</x:v>
      </x:c>
      <x:c r="T14" s="47" t="str">
        <x:v>Agency settings, all date/number UI, property distribution PDF/captions, email/messages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LOC-011</x:v>
      </x:c>
      <x:c r="B15" s="47" t="str">
        <x:v>Nepal Localization and Bikram Sambat</x:v>
      </x:c>
      <x:c r="C15" s="47" t="str">
        <x:v>Nepal Localization and Bikram Sambat</x:v>
      </x:c>
      <x:c r="D15" s="47" t="str">
        <x:v>Lakh/crore and Nepali digit formatting</x:v>
      </x:c>
      <x:c r="E15" s="47" t="str">
        <x:v>Format boundary values around 1 lakh and 1 crore with Nepali digits on/off.</x:v>
      </x:c>
      <x:c r="F15" s="47" t="str">
        <x:v>Lakh/crore and Nepali digit formatting</x:v>
      </x:c>
      <x:c r="G15" s="47" t="str">
        <x:v>Functional</x:v>
      </x:c>
      <x:c r="H15" s="53" t="str">
        <x:v>P1</x:v>
      </x:c>
      <x:c r="I15" s="53" t="str">
        <x:v>High</x:v>
      </x:c>
      <x:c r="J15" s="47" t="str">
        <x:v>Agency/Public user</x:v>
      </x:c>
      <x:c r="K15" s="47" t="str">
        <x:v>Known BS/AD reference dates including Nepali New Year; Nepal phone/address/price fixtures; English/Nepali settings.</x:v>
      </x:c>
      <x:c r="L15" s="47" t="str">
        <x:v>language, date_system, use_nepali_digits, timezone Asia/Kathmandu, currency style, message templates.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Known BS/AD reference dates including Nepali New Year; Nepal phone/address/price fixtures; English/Nepali settings.
2. Sign in/use role: Agency/Public user.
3. Navigate to /settings localization controls; dates/numbers throughout agency UI/storefront/generated assets and capture the initial UI/API/database state.
4. Execute: Format boundary values around 1 lakh and 1 crore with Nepali digits on/off.
5. Inspect the network request/response against: GET/PATCH /api/agencies/localization/ plus property/distribution/appointment APIs consuming localized fields.
6. Refresh/re-query the feature and related modules: Agency settings, all date/number UI, property distribution PDF/captions, email/messages.
7. Verify affected models (AgencyLocalizationSettings and formatted serializer/helper output) and all listed side effects.</x:v>
      </x:c>
      <x:c r="O15" s="47" t="str">
        <x:v>Labels/rounding follow configured formatter; raw Decimal API values remain accurate.</x:v>
      </x:c>
      <x:c r="P15" s="47" t="str">
        <x:v>No rows change.</x:v>
      </x:c>
      <x:c r="Q15" s="47" t="str">
        <x:v>Serializer/helper output is consistent where formatted fields are exposed.</x:v>
      </x:c>
      <x:c r="R15" s="47" t="str">
        <x:v>Cards, details, brochures and captions agree.</x:v>
      </x:c>
      <x:c r="S15" s="47" t="str">
        <x:v>Reports use raw numbers for calculations.</x:v>
      </x:c>
      <x:c r="T15" s="47" t="str">
        <x:v>Agency settings, all date/number UI, property distribution PDF/captions, email/messages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LOC-012</x:v>
      </x:c>
      <x:c r="B16" s="48" t="str">
        <x:v>Nepal Localization and Bikram Sambat</x:v>
      </x:c>
      <x:c r="C16" s="48" t="str">
        <x:v>Nepal Localization and Bikram Sambat</x:v>
      </x:c>
      <x:c r="D16" s="48" t="str">
        <x:v>Localization switch does not mutate business data</x:v>
      </x:c>
      <x:c r="E16" s="48" t="str">
        <x:v>Capture hashes/values of property/lead/appointment records, switch language/date/digits twice, compare.</x:v>
      </x:c>
      <x:c r="F16" s="48" t="str">
        <x:v>Localization switch does not mutate business data</x:v>
      </x:c>
      <x:c r="G16" s="48" t="str">
        <x:v>Regression</x:v>
      </x:c>
      <x:c r="H16" s="54" t="str">
        <x:v>P0</x:v>
      </x:c>
      <x:c r="I16" s="54" t="str">
        <x:v>Critical</x:v>
      </x:c>
      <x:c r="J16" s="48" t="str">
        <x:v>Agency Owner</x:v>
      </x:c>
      <x:c r="K16" s="48" t="str">
        <x:v>Known BS/AD reference dates including Nepali New Year; Nepal phone/address/price fixtures; English/Nepali settings.</x:v>
      </x:c>
      <x:c r="L16" s="48" t="str">
        <x:v>language, date_system, use_nepali_digits, timezone Asia/Kathmandu, currency style, message templates.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Known BS/AD reference dates including Nepali New Year; Nepal phone/address/price fixtures; English/Nepali settings.
2. Sign in/use role: Agency Owner.
3. Navigate to /settings localization controls; dates/numbers throughout agency UI/storefront/generated assets and capture the initial UI/API/database state.
4. Execute: Capture hashes/values of property/lead/appointment records, switch language/date/digits twice, compare.
5. Inspect the network request/response against: GET/PATCH /api/agencies/localization/ plus property/distribution/appointment APIs consuming localized fields.
6. Refresh/re-query the feature and related modules: Agency settings, all date/number UI, property distribution PDF/captions, email/messages.
7. Verify affected models (AgencyLocalizationSettings and formatted serializer/helper output) and all listed side effects.</x:v>
      </x:c>
      <x:c r="O16" s="48" t="str">
        <x:v>Only localization settings/presentation change.</x:v>
      </x:c>
      <x:c r="P16" s="48" t="str">
        <x:v>Property/Lead/Appointment rows unchanged.</x:v>
      </x:c>
      <x:c r="Q16" s="48" t="str">
        <x:v>PATCH settings succeeds; GET business APIs retain canonical values.</x:v>
      </x:c>
      <x:c r="R16" s="48" t="str">
        <x:v>Presentation switches and reverses cleanly.</x:v>
      </x:c>
      <x:c r="S16" s="48" t="str">
        <x:v>No new history/automation events.</x:v>
      </x:c>
      <x:c r="T16" s="48" t="str">
        <x:v>Agency settings, all date/number UI, property distribution PDF/captions, email/messages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200" priority="1">
      <x:formula>H5="P0"</x:formula>
    </x:cfRule>
    <x:cfRule type="expression" dxfId="201" priority="2">
      <x:formula>H5="P1"</x:formula>
    </x:cfRule>
    <x:cfRule type="expression" dxfId="202" priority="3">
      <x:formula>H5="P2"</x:formula>
    </x:cfRule>
    <x:cfRule type="expression" dxfId="203" priority="4">
      <x:formula>H5="P3"</x:formula>
    </x:cfRule>
  </x:conditionalFormatting>
  <x:conditionalFormatting sqref="W5:W16">
    <x:cfRule type="expression" dxfId="204" priority="5">
      <x:formula>W5="Passed"</x:formula>
    </x:cfRule>
    <x:cfRule type="expression" dxfId="205" priority="6">
      <x:formula>W5="Failed"</x:formula>
    </x:cfRule>
    <x:cfRule type="expression" dxfId="206" priority="7">
      <x:formula>W5="Blocked"</x:formula>
    </x:cfRule>
    <x:cfRule type="expression" dxfId="207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c48c11dbd34119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Scheduler and Background Jobs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JOB-001</x:v>
      </x:c>
      <x:c r="B5" s="46" t="str">
        <x:v>Scheduler and Background Jobs</x:v>
      </x:c>
      <x:c r="C5" s="46" t="str">
        <x:v>Scheduler and Background Jobs</x:v>
      </x:c>
      <x:c r="D5" s="46" t="str">
        <x:v>Complete the primary Scheduler and Background Jobs workflow</x:v>
      </x:c>
      <x:c r="E5" s="46" t="str">
        <x:v>Seed due work across every command, run one scheduler cycle twice, and compare processing/output/error isolation.</x:v>
      </x:c>
      <x:c r="F5" s="46" t="str">
        <x:v>Complete the primary Scheduler and Background Jobs workflow</x:v>
      </x:c>
      <x:c r="G5" s="46" t="str">
        <x:v>Functional / Positive</x:v>
      </x:c>
      <x:c r="H5" s="52" t="str">
        <x:v>P0</x:v>
      </x:c>
      <x:c r="I5" s="52" t="str">
        <x:v>Critical</x:v>
      </x:c>
      <x:c r="J5" s="46" t="str">
        <x:v>System scheduler</x:v>
      </x:c>
      <x:c r="K5" s="46" t="str">
        <x:v>Docker scheduler running; records before/at/after each threshold; mocked email/Meta failures; two tenants.</x:v>
      </x:c>
      <x:c r="L5" s="46" t="str">
        <x:v>Due timestamps, last-sent markers, retryable errors, inactive agencies/users and empty queues.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Prepare: Docker scheduler running; records before/at/after each threshold; mocked email/Meta failures; two tenants.
2. Sign in/use role: System scheduler.
3. Navigate to No direct UI entry except automation process/dashboard and resulting notifications/statuses and capture the initial UI/API/database state.
4. Execute: Seed due work across every command, run one scheduler cycle twice, and compare processing/output/error isolation.
5. Inspect the network request/response against: Management commands: process_listing_freshness; process_lead_automation; send_due_reminders; send_task_reminders; send_saved_search_alerts; publish_scheduled_posts.
6. Refresh/re-query the feature and related modules: Database, SMTP, Meta Graph, all time-based product promises.
7. Verify affected models (Properties, Leads, SiteVisits, Tasks, SavedSearches, SocialPosts, Notifications and error/timestamp fields) and all listed side effects.</x:v>
      </x:c>
      <x:c r="O5" s="46" t="str">
        <x:v>Each eligible item is processed once per logical window; empty queues succeed; one failure does not corrupt or duplicate unrelated work.</x:v>
      </x:c>
      <x:c r="P5" s="46" t="str">
        <x:v>Due record fields, errors, notifications/events and provider statuses update transactionally per item where implemented.</x:v>
      </x:c>
      <x:c r="Q5" s="46" t="str">
        <x:v>Use the documented routes: Management commands: process_listing_freshness; process_lead_automation; send_due_reminders; send_task_reminders; send_saved_search_alerts; publish_scheduled_posts. Successful create operations return 201, reads/updates/actions 200, and deletes 204 where provided; capture exact endpoint-specific response.</x:v>
      </x:c>
      <x:c r="R5" s="46" t="str">
        <x:v>Start at No direct UI entry except automation process/dashboard and resulting notifications/statuses. The visible state must match the saved API response after refresh.</x:v>
      </x:c>
      <x:c r="S5" s="46" t="str">
        <x:v>Public visibility, reminders, assignments, alerts and social content change even without a foreground request.</x:v>
      </x:c>
      <x:c r="T5" s="46" t="str">
        <x:v>Database, SMTP, Meta Graph, all time-based product promises</x:v>
      </x:c>
      <x:c r="U5" s="46" t="str">
        <x:v>Restore mutated fixture state where required; retain evidence (request/response, screenshots, SQL counts and logs).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implementation. If observed behavior differs, log a defect; do not replace actual behavior with an unimplemented recommendation.</x:v>
      </x:c>
    </x:row>
    <x:row r="6" ht="78" customHeight="1">
      <x:c r="A6" s="50" t="str">
        <x:v>JOB-002</x:v>
      </x:c>
      <x:c r="B6" s="47" t="str">
        <x:v>Scheduler and Background Jobs</x:v>
      </x:c>
      <x:c r="C6" s="47" t="str">
        <x:v>Scheduler and Background Jobs</x:v>
      </x:c>
      <x:c r="D6" s="47" t="str">
        <x:v>Reject invalid or missing Scheduler and Background Jobs inputs</x:v>
      </x:c>
      <x:c r="E6" s="47" t="str">
        <x:v>Handle invalid/stale references, database/provider/email failure, inactive tenant, concurrent invocation and partial batches without false success.</x:v>
      </x:c>
      <x:c r="F6" s="47" t="str">
        <x:v>Reject invalid or missing Scheduler and Background Jobs inputs</x:v>
      </x:c>
      <x:c r="G6" s="47" t="str">
        <x:v>Negative / Validation</x:v>
      </x:c>
      <x:c r="H6" s="53" t="str">
        <x:v>P0</x:v>
      </x:c>
      <x:c r="I6" s="53" t="str">
        <x:v>High</x:v>
      </x:c>
      <x:c r="J6" s="47" t="str">
        <x:v>System scheduler</x:v>
      </x:c>
      <x:c r="K6" s="47" t="str">
        <x:v>Docker scheduler running; records before/at/after each threshold; mocked email/Meta failures; two tenants.</x:v>
      </x:c>
      <x:c r="L6" s="47" t="str">
        <x:v>Due timestamps, last-sent markers, retryable errors, inactive agencies/users and empty queues.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Prepare: Docker scheduler running; records before/at/after each threshold; mocked email/Meta failures; two tenants.
2. Sign in/use role: System scheduler.
3. Navigate to No direct UI entry except automation process/dashboard and resulting notifications/statuses and capture the initial UI/API/database state.
4. Execute: Handle invalid/stale references, database/provider/email failure, inactive tenant, concurrent invocation and partial batches without false success.
5. Inspect the network request/response against: Management commands: process_listing_freshness; process_lead_automation; send_due_reminders; send_task_reminders; send_saved_search_alerts; publish_scheduled_posts.
6. Refresh/re-query the feature and related modules: Database, SMTP, Meta Graph, all time-based product promises.
7. Verify affected models (Properties, Leads, SiteVisits, Tasks, SavedSearches, SocialPosts, Notifications and error/timestamp fields) and all listed side effects.</x:v>
      </x:c>
      <x:c r="O6" s="47" t="str">
        <x:v>Every invalid variant has a deterministic field/non-field error, no 500 response, and no partial business mutation.</x:v>
      </x:c>
      <x:c r="P6" s="47" t="str">
        <x:v>No new row or partial update for the rejected request; compare affected tables before/after.</x:v>
      </x:c>
      <x:c r="Q6" s="47" t="str">
        <x:v>Expected 400 for validation/choice/relationship errors, 404 for scoped missing resources, and never an unhandled 500.</x:v>
      </x:c>
      <x:c r="R6" s="47" t="str">
        <x:v>Field or safe page-level error is visible; entered values remain available for correction; no false success state.</x:v>
      </x:c>
      <x:c r="S6" s="47" t="str">
        <x:v>No notification, audit-success, email, event, background marker or external call should be produced by a rejected mutation.</x:v>
      </x:c>
      <x:c r="T6" s="47" t="str">
        <x:v>Database, SMTP, Meta Graph, all time-based product promises</x:v>
      </x:c>
      <x:c r="U6" s="47" t="str">
        <x:v>Restore mutated fixture state where required; retain evidence (request/response, screenshots, SQL counts and logs).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implementation. If observed behavior differs, log a defect; do not replace actual behavior with an unimplemented recommendation.</x:v>
      </x:c>
    </x:row>
    <x:row r="7" ht="78" customHeight="1">
      <x:c r="A7" s="50" t="str">
        <x:v>JOB-003</x:v>
      </x:c>
      <x:c r="B7" s="47" t="str">
        <x:v>Scheduler and Background Jobs</x:v>
      </x:c>
      <x:c r="C7" s="47" t="str">
        <x:v>Scheduler and Background Jobs</x:v>
      </x:c>
      <x:c r="D7" s="47" t="str">
        <x:v>Enforce Scheduler and Background Jobs role permissions</x:v>
      </x:c>
      <x:c r="E7" s="47" t="str">
        <x:v>Commands run as trusted system but must retain tenant eligibility/scoping in query logic.</x:v>
      </x:c>
      <x:c r="F7" s="47" t="str">
        <x:v>Enforce Scheduler and Background Jobs role permissions</x:v>
      </x:c>
      <x:c r="G7" s="47" t="str">
        <x:v>Permission / Security</x:v>
      </x:c>
      <x:c r="H7" s="53" t="str">
        <x:v>P0</x:v>
      </x:c>
      <x:c r="I7" s="53" t="str">
        <x:v>Critical</x:v>
      </x:c>
      <x:c r="J7" s="47" t="str">
        <x:v>Exercise every listed role plus an unauthenticated caller</x:v>
      </x:c>
      <x:c r="K7" s="47" t="str">
        <x:v>Docker scheduler running; records before/at/after each threshold; mocked email/Meta failures; two tenants.</x:v>
      </x:c>
      <x:c r="L7" s="47" t="str">
        <x:v>Due timestamps, last-sent markers, retryable errors, inactive agencies/users and empty queues.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Prepare: Docker scheduler running; records before/at/after each threshold; mocked email/Meta failures; two tenants.
2. Sign in/use role: Exercise every listed role plus an unauthenticated caller.
3. Navigate to No direct UI entry except automation process/dashboard and resulting notifications/statuses and capture the initial UI/API/database state.
4. Execute: Commands run as trusted system but must retain tenant eligibility/scoping in query logic.
5. Inspect the network request/response against: Management commands: process_listing_freshness; process_lead_automation; send_due_reminders; send_task_reminders; send_saved_search_alerts; publish_scheduled_posts.
6. Refresh/re-query the feature and related modules: Database, SMTP, Meta Graph, all time-based product promises.
7. Verify affected models (Properties, Leads, SiteVisits, Tasks, SavedSearches, SocialPosts, Notifications and error/timestamp fields) and all listed side effects.</x:v>
      </x:c>
      <x:c r="O7" s="47" t="str">
        <x:v>Allowed roles succeed only within their documented scope; forbidden roles cannot bypass the UI by calling the API directly.</x:v>
      </x:c>
      <x:c r="P7" s="47" t="str">
        <x:v>Forbidden requests leave all business and audit-success rows unchanged.</x:v>
      </x:c>
      <x:c r="Q7" s="47" t="str">
        <x:v>401 without required authentication; 403 for role denial; scoped 404 where queryset hiding is implemented.</x:v>
      </x:c>
      <x:c r="R7" s="47" t="str">
        <x:v>Controls/routes reflect permission, but server enforcement remains authoritative.</x:v>
      </x:c>
      <x:c r="S7" s="47" t="str">
        <x:v>No data, notification or external side effect from denied requests.</x:v>
      </x:c>
      <x:c r="T7" s="47" t="str">
        <x:v>Database, SMTP, Meta Graph, all time-based product promises</x:v>
      </x:c>
      <x:c r="U7" s="47" t="str">
        <x:v>Restore mutated fixture state where required; retain evidence (request/response, screenshots, SQL counts and logs).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implementation. If observed behavior differs, log a defect; do not replace actual behavior with an unimplemented recommendation.</x:v>
      </x:c>
    </x:row>
    <x:row r="8" ht="78" customHeight="1">
      <x:c r="A8" s="50" t="str">
        <x:v>JOB-004</x:v>
      </x:c>
      <x:c r="B8" s="47" t="str">
        <x:v>Scheduler and Background Jobs</x:v>
      </x:c>
      <x:c r="C8" s="47" t="str">
        <x:v>Scheduler and Background Jobs</x:v>
      </x:c>
      <x:c r="D8" s="47" t="str">
        <x:v>Prevent cross-tenant access in Scheduler and Background Jobs</x:v>
      </x:c>
      <x:c r="E8" s="47" t="str">
        <x:v>Substitute Agency B object IDs, related IDs, slugs, files and filter parameters into every Agency A list/detail/create/update/delete/action request.</x:v>
      </x:c>
      <x:c r="F8" s="47" t="str">
        <x:v>Prevent cross-tenant access in Scheduler and Background Jobs</x:v>
      </x:c>
      <x:c r="G8" s="47" t="str">
        <x:v>Security / IDOR</x:v>
      </x:c>
      <x:c r="H8" s="53" t="str">
        <x:v>P0</x:v>
      </x:c>
      <x:c r="I8" s="53" t="str">
        <x:v>Critical</x:v>
      </x:c>
      <x:c r="J8" s="47" t="str">
        <x:v>Agency A authenticated user and Agency B fixture</x:v>
      </x:c>
      <x:c r="K8" s="47" t="str">
        <x:v>Docker scheduler running; records before/at/after each threshold; mocked email/Meta failures; two tenants.</x:v>
      </x:c>
      <x:c r="L8" s="47" t="str">
        <x:v>Due timestamps, last-sent markers, retryable errors, inactive agencies/users and empty queues.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Prepare: Docker scheduler running; records before/at/after each threshold; mocked email/Meta failures; two tenants.
2. Sign in/use role: Agency A authenticated user and Agency B fixture.
3. Navigate to No direct UI entry except automation process/dashboard and resulting notifications/statuses and capture the initial UI/API/database state.
4. Execute: Substitute Agency B object IDs, related IDs, slugs, files and filter parameters into every Agency A list/detail/create/update/delete/action request.
5. Inspect the network request/response against: Management commands: process_listing_freshness; process_lead_automation; send_due_reminders; send_task_reminders; send_saved_search_alerts; publish_scheduled_posts.
6. Refresh/re-query the feature and related modules: Database, SMTP, Meta Graph, all time-based product promises.
7. Verify affected models (Properties, Leads, SiteVisits, Tasks, SavedSearches, SocialPosts, Notifications and error/timestamp fields) and all listed side effects.</x:v>
      </x:c>
      <x:c r="O8" s="47" t="str">
        <x:v>No Agency B record, count, filename, validation detail or relationship is exposed or changed.</x:v>
      </x:c>
      <x:c r="P8" s="47" t="str">
        <x:v>No cross-agency foreign key or row mutation; Agency B before/after snapshot is identical.</x:v>
      </x:c>
      <x:c r="Q8" s="47" t="str">
        <x:v>Scoped list is empty/excludes B; detail/action returns 404 or explicit permission denial according to current view.</x:v>
      </x:c>
      <x:c r="R8" s="47" t="str">
        <x:v>No hidden tenant value appears in selectors, URLs, caches or error messages.</x:v>
      </x:c>
      <x:c r="S8" s="47" t="str">
        <x:v>No notification/email/event/audit-success in either tenant.</x:v>
      </x:c>
      <x:c r="T8" s="47" t="str">
        <x:v>Database, SMTP, Meta Graph, all time-based product promises</x:v>
      </x:c>
      <x:c r="U8" s="47" t="str">
        <x:v>Restore mutated fixture state where required; retain evidence (request/response, screenshots, SQL counts and logs).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implementation. If observed behavior differs, log a defect; do not replace actual behavior with an unimplemented recommendation.</x:v>
      </x:c>
    </x:row>
    <x:row r="9" ht="78" customHeight="1">
      <x:c r="A9" s="50" t="str">
        <x:v>JOB-005</x:v>
      </x:c>
      <x:c r="B9" s="47" t="str">
        <x:v>Scheduler and Background Jobs</x:v>
      </x:c>
      <x:c r="C9" s="47" t="str">
        <x:v>Scheduler and Background Jobs</x:v>
      </x:c>
      <x:c r="D9" s="47" t="str">
        <x:v>Verify Scheduler and Background Jobs list, search and filter scoping</x:v>
      </x:c>
      <x:c r="E9" s="47" t="str">
        <x:v>Command counters/logs match selected/processed/skipped/failed records.</x:v>
      </x:c>
      <x:c r="F9" s="47" t="str">
        <x:v>Verify Scheduler and Background Jobs list, search and filter scoping</x:v>
      </x:c>
      <x:c r="G9" s="47" t="str">
        <x:v>API / UI</x:v>
      </x:c>
      <x:c r="H9" s="53" t="str">
        <x:v>P1</x:v>
      </x:c>
      <x:c r="I9" s="53" t="str">
        <x:v>High</x:v>
      </x:c>
      <x:c r="J9" s="47" t="str">
        <x:v>System scheduler</x:v>
      </x:c>
      <x:c r="K9" s="47" t="str">
        <x:v>Docker scheduler running; records before/at/after each threshold; mocked email/Meta failures; two tenants.</x:v>
      </x:c>
      <x:c r="L9" s="47" t="str">
        <x:v>Due timestamps, last-sent markers, retryable errors, inactive agencies/users and empty queues.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Prepare: Docker scheduler running; records before/at/after each threshold; mocked email/Meta failures; two tenants.
2. Sign in/use role: System scheduler.
3. Navigate to No direct UI entry except automation process/dashboard and resulting notifications/statuses and capture the initial UI/API/database state.
4. Execute: Command counters/logs match selected/processed/skipped/failed records.
5. Inspect the network request/response against: Management commands: process_listing_freshness; process_lead_automation; send_due_reminders; send_task_reminders; send_saved_search_alerts; publish_scheduled_posts.
6. Refresh/re-query the feature and related modules: Database, SMTP, Meta Graph, all time-based product promises.
7. Verify affected models (Properties, Leads, SiteVisits, Tasks, SavedSearches, SocialPosts, Notifications and error/timestamp fields) and all listed side effects.</x:v>
      </x:c>
      <x:c r="O9" s="47" t="str">
        <x:v>Result membership, count, ordering and empty state are correct for combined valid filters and invalid/missing filters fail safely.</x:v>
      </x:c>
      <x:c r="P9" s="47" t="str">
        <x:v>Read-only; no timestamps or history should change merely by listing/filtering.</x:v>
      </x:c>
      <x:c r="Q9" s="47" t="str">
        <x:v>GET returns 200 with stable scoped pagination/shape and no private facet leakage.</x:v>
      </x:c>
      <x:c r="R9" s="47" t="str">
        <x:v>Filter state, URL/query, counts and cards/table rows match the response; clear/reset restores default scope.</x:v>
      </x:c>
      <x:c r="S9" s="47" t="str">
        <x:v>No notification/external call; analytics only if explicitly implemented for that view.</x:v>
      </x:c>
      <x:c r="T9" s="47" t="str">
        <x:v>Database, SMTP, Meta Graph, all time-based product promises</x:v>
      </x:c>
      <x:c r="U9" s="47" t="str">
        <x:v>Restore mutated fixture state where required; retain evidence (request/response, screenshots, SQL counts and logs).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implementation. If observed behavior differs, log a defect; do not replace actual behavior with an unimplemented recommendation.</x:v>
      </x:c>
    </x:row>
    <x:row r="10" ht="78" customHeight="1">
      <x:c r="A10" s="50" t="str">
        <x:v>JOB-006</x:v>
      </x:c>
      <x:c r="B10" s="47" t="str">
        <x:v>Scheduler and Background Jobs</x:v>
      </x:c>
      <x:c r="C10" s="47" t="str">
        <x:v>Scheduler and Background Jobs</x:v>
      </x:c>
      <x:c r="D10" s="47" t="str">
        <x:v>Test duplicate submission and idempotency for Scheduler and Background Jobs</x:v>
      </x:c>
      <x:c r="E10" s="47" t="str">
        <x:v>Double-click/submit identical requests sequentially and concurrently. Current rule: Every command must be rerun safely; concurrency locking is limited and must be stress-tested.</x:v>
      </x:c>
      <x:c r="F10" s="47" t="str">
        <x:v>Test duplicate submission and idempotency for Scheduler and Background Jobs</x:v>
      </x:c>
      <x:c r="G10" s="47" t="str">
        <x:v>Idempotency / Concurrency</x:v>
      </x:c>
      <x:c r="H10" s="53" t="str">
        <x:v>P1</x:v>
      </x:c>
      <x:c r="I10" s="53" t="str">
        <x:v>High</x:v>
      </x:c>
      <x:c r="J10" s="47" t="str">
        <x:v>System scheduler</x:v>
      </x:c>
      <x:c r="K10" s="47" t="str">
        <x:v>Docker scheduler running; records before/at/after each threshold; mocked email/Meta failures; two tenants.</x:v>
      </x:c>
      <x:c r="L10" s="47" t="str">
        <x:v>Due timestamps, last-sent markers, retryable errors, inactive agencies/users and empty queues.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Prepare: Docker scheduler running; records before/at/after each threshold; mocked email/Meta failures; two tenants.
2. Sign in/use role: System scheduler.
3. Navigate to No direct UI entry except automation process/dashboard and resulting notifications/statuses and capture the initial UI/API/database state.
4. Execute: Double-click/submit identical requests sequentially and concurrently. Current rule: Every command must be rerun safely; concurrency locking is limited and must be stress-tested.
5. Inspect the network request/response against: Management commands: process_listing_freshness; process_lead_automation; send_due_reminders; send_task_reminders; send_saved_search_alerts; publish_scheduled_posts.
6. Refresh/re-query the feature and related modules: Database, SMTP, Meta Graph, all time-based product promises.
7. Verify affected models (Properties, Leads, SiteVisits, Tasks, SavedSearches, SocialPosts, Notifications and error/timestamp fields) and all listed side effects.</x:v>
      </x:c>
      <x:c r="O10" s="47" t="str">
        <x:v>Final row/side-effect count matches current uniqueness/deduplication design; ambiguous duplicate acceptance is recorded as current behavior or defect, not silently assumed.</x:v>
      </x:c>
      <x:c r="P10" s="47" t="str">
        <x:v>Inspect unique keys, row counts, histories, notifications and external IDs after both requests.</x:v>
      </x:c>
      <x:c r="Q10" s="47" t="str">
        <x:v>Responses are stable and never expose integrity-error 500; duplicate-specific 400/409 or safe reuse is accepted where implemented.</x:v>
      </x:c>
      <x:c r="R10" s="47" t="str">
        <x:v>Submitting indicator reduces accidental duplicates and refreshed state converges with server truth.</x:v>
      </x:c>
      <x:c r="S10" s="47" t="str">
        <x:v>Emails, provider calls, alerts and audit events occur at most once per intended logical action where deduplication exists.</x:v>
      </x:c>
      <x:c r="T10" s="47" t="str">
        <x:v>Database, SMTP, Meta Graph, all time-based product promises</x:v>
      </x:c>
      <x:c r="U10" s="47" t="str">
        <x:v>Restore mutated fixture state where required; retain evidence (request/response, screenshots, SQL counts and logs).</x:v>
      </x:c>
      <x:c r="V10" s="47" t="str"/>
      <x:c r="W10" s="53" t="str">
        <x:v>Not Run</x:v>
      </x:c>
      <x:c r="X10" s="53" t="str"/>
      <x:c r="Y10" s="53" t="str">
        <x:v>Maybe</x:v>
      </x:c>
      <x:c r="Z10" s="47" t="str">
        <x:v>Current implementation. If observed behavior differs, log a defect; do not replace actual behavior with an unimplemented recommendation.</x:v>
      </x:c>
    </x:row>
    <x:row r="11" ht="78" customHeight="1">
      <x:c r="A11" s="50" t="str">
        <x:v>JOB-007</x:v>
      </x:c>
      <x:c r="B11" s="47" t="str">
        <x:v>Scheduler and Background Jobs</x:v>
      </x:c>
      <x:c r="C11" s="47" t="str">
        <x:v>Scheduler and Background Jobs</x:v>
      </x:c>
      <x:c r="D11" s="47" t="str">
        <x:v>Verify deletion and dependency behavior for Scheduler and Background Jobs</x:v>
      </x:c>
      <x:c r="E11" s="47" t="str">
        <x:v>Delete an unreferenced record, a referenced record, a foreign-tenant record, and an already-deleted ID. Current rule: Jobs do not delete source entities; they update state/markers and add notifications/events as designed.</x:v>
      </x:c>
      <x:c r="F11" s="47" t="str">
        <x:v>Verify deletion and dependency behavior for Scheduler and Background Jobs</x:v>
      </x:c>
      <x:c r="G11" s="47" t="str">
        <x:v>Database / Delete</x:v>
      </x:c>
      <x:c r="H11" s="53" t="str">
        <x:v>P1</x:v>
      </x:c>
      <x:c r="I11" s="53" t="str">
        <x:v>High</x:v>
      </x:c>
      <x:c r="J11" s="47" t="str">
        <x:v>Agency Owner or Agency Manager</x:v>
      </x:c>
      <x:c r="K11" s="47" t="str">
        <x:v>Docker scheduler running; records before/at/after each threshold; mocked email/Meta failures; two tenants.</x:v>
      </x:c>
      <x:c r="L11" s="47" t="str">
        <x:v>Due timestamps, last-sent markers, retryable errors, inactive agencies/users and empty queues.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Prepare: Docker scheduler running; records before/at/after each threshold; mocked email/Meta failures; two tenants.
2. Sign in/use role: Agency Owner or Agency Manager.
3. Navigate to No direct UI entry except automation process/dashboard and resulting notifications/statuses and capture the initial UI/API/database state.
4. Execute: Delete an unreferenced record, a referenced record, a foreign-tenant record, and an already-deleted ID. Current rule: Jobs do not delete source entities; they update state/markers and add notifications/events as designed.
5. Inspect the network request/response against: Management commands: process_listing_freshness; process_lead_automation; send_due_reminders; send_task_reminders; send_saved_search_alerts; publish_scheduled_posts.
6. Refresh/re-query the feature and related modules: Database, SMTP, Meta Graph, all time-based product promises.
7. Verify affected models (Properties, Leads, SiteVisits, Tasks, SavedSearches, SocialPosts, Notifications and error/timestamp fields) and all listed side effects.</x:v>
      </x:c>
      <x:c r="O11" s="47" t="str">
        <x:v>Deletion/soft deletion/protection follows actual on_delete and view permission behavior with no orphan or partial cascade.</x:v>
      </x:c>
      <x:c r="P11" s="47" t="str">
        <x:v>Inspect target, foreign keys, protected parents, cascade children, files and AuditLog before/after; rollback on failure.</x:v>
      </x:c>
      <x:c r="Q11" s="47" t="str">
        <x:v>204 for accepted delete; 403 agent denial; 404 repeated/foreign ID; dependency error must be handled rather than 500.</x:v>
      </x:c>
      <x:c r="R11" s="47" t="str">
        <x:v>Confirmation and dependency error are clear; lists refresh without stale rows.</x:v>
      </x:c>
      <x:c r="S11" s="47" t="str">
        <x:v>Unrelated tenant/business records and public data remain unchanged unless directly dependent.</x:v>
      </x:c>
      <x:c r="T11" s="47" t="str">
        <x:v>Database, SMTP, Meta Graph, all time-based product promises</x:v>
      </x:c>
      <x:c r="U11" s="47" t="str">
        <x:v>Restore mutated fixture state where required; retain evidence (request/response, screenshots, SQL counts and logs).</x:v>
      </x:c>
      <x:c r="V11" s="47" t="str"/>
      <x:c r="W11" s="53" t="str">
        <x:v>Not Run</x:v>
      </x:c>
      <x:c r="X11" s="53" t="str"/>
      <x:c r="Y11" s="53" t="str">
        <x:v>Maybe</x:v>
      </x:c>
      <x:c r="Z11" s="47" t="str">
        <x:v>Current implementation. If observed behavior differs, log a defect; do not replace actual behavior with an unimplemented recommendation.</x:v>
      </x:c>
    </x:row>
    <x:row r="12" ht="78" customHeight="1">
      <x:c r="A12" s="50" t="str">
        <x:v>JOB-008</x:v>
      </x:c>
      <x:c r="B12" s="47" t="str">
        <x:v>Scheduler and Background Jobs</x:v>
      </x:c>
      <x:c r="C12" s="47" t="str">
        <x:v>Scheduler and Background Jobs</x:v>
      </x:c>
      <x:c r="D12" s="47" t="str">
        <x:v>Recover cleanly from API/network failure during Scheduler and Background Jobs</x:v>
      </x:c>
      <x:c r="E12" s="47" t="str">
        <x:v>Simulate timeout, offline browser, 500 response, expired access token and failed refresh while submitting the primary workflow.</x:v>
      </x:c>
      <x:c r="F12" s="47" t="str">
        <x:v>Recover cleanly from API/network failure during Scheduler and Background Jobs</x:v>
      </x:c>
      <x:c r="G12" s="47" t="str">
        <x:v>Error Handling / Recovery</x:v>
      </x:c>
      <x:c r="H12" s="53" t="str">
        <x:v>P1</x:v>
      </x:c>
      <x:c r="I12" s="53" t="str">
        <x:v>High</x:v>
      </x:c>
      <x:c r="J12" s="47" t="str">
        <x:v>System scheduler</x:v>
      </x:c>
      <x:c r="K12" s="47" t="str">
        <x:v>Docker scheduler running; records before/at/after each threshold; mocked email/Meta failures; two tenants.</x:v>
      </x:c>
      <x:c r="L12" s="47" t="str">
        <x:v>Due timestamps, last-sent markers, retryable errors, inactive agencies/users and empty queues.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Prepare: Docker scheduler running; records before/at/after each threshold; mocked email/Meta failures; two tenants.
2. Sign in/use role: System scheduler.
3. Navigate to No direct UI entry except automation process/dashboard and resulting notifications/statuses and capture the initial UI/API/database state.
4. Execute: Simulate timeout, offline browser, 500 response, expired access token and failed refresh while submitting the primary workflow.
5. Inspect the network request/response against: Management commands: process_listing_freshness; process_lead_automation; send_due_reminders; send_task_reminders; send_saved_search_alerts; publish_scheduled_posts.
6. Refresh/re-query the feature and related modules: Database, SMTP, Meta Graph, all time-based product promises.
7. Verify affected models (Properties, Leads, SiteVisits, Tasks, SavedSearches, SocialPosts, Notifications and error/timestamp fields) and all listed side effects.</x:v>
      </x:c>
      <x:c r="O12" s="47" t="str">
        <x:v>UI never reports false success; safe retry does not corrupt state; expired JWT follows single refresh then login redirect on failure.</x:v>
      </x:c>
      <x:c r="P12" s="47" t="str">
        <x:v>Accepted server transaction is either fully committed or absent; compare after retry for duplicates.</x:v>
      </x:c>
      <x:c r="Q12" s="47" t="str">
        <x:v>15-second client timeout, one refresh attempt on 401, retry with new Bearer token, then safe failure/redirect.</x:v>
      </x:c>
      <x:c r="R12" s="47" t="str">
        <x:v>Loading state clears, actionable error appears, form data is preserved where safe, and refreshed truth is displayed.</x:v>
      </x:c>
      <x:c r="S12" s="47" t="str">
        <x:v>No duplicate notification/email/external action after uncertain retry unless current endpoint lacks idempotency; flag that risk.</x:v>
      </x:c>
      <x:c r="T12" s="47" t="str">
        <x:v>Database, SMTP, Meta Graph, all time-based product promises</x:v>
      </x:c>
      <x:c r="U12" s="47" t="str">
        <x:v>Restore mutated fixture state where required; retain evidence (request/response, screenshots, SQL counts and logs).</x:v>
      </x:c>
      <x:c r="V12" s="47" t="str"/>
      <x:c r="W12" s="53" t="str">
        <x:v>Not Run</x:v>
      </x:c>
      <x:c r="X12" s="53" t="str"/>
      <x:c r="Y12" s="53" t="str">
        <x:v>Maybe</x:v>
      </x:c>
      <x:c r="Z12" s="47" t="str">
        <x:v>Current implementation. If observed behavior differs, log a defect; do not replace actual behavior with an unimplemented recommendation.</x:v>
      </x:c>
    </x:row>
    <x:row r="13" ht="78" customHeight="1">
      <x:c r="A13" s="50" t="str">
        <x:v>JOB-009</x:v>
      </x:c>
      <x:c r="B13" s="47" t="str">
        <x:v>Scheduler and Background Jobs</x:v>
      </x:c>
      <x:c r="C13" s="47" t="str">
        <x:v>Scheduler and Background Jobs</x:v>
      </x:c>
      <x:c r="D13" s="47" t="str">
        <x:v>Empty scheduler cycle succeeds</x:v>
      </x:c>
      <x:c r="E13" s="47" t="str">
        <x:v>Ensure no record is due and execute every management command.</x:v>
      </x:c>
      <x:c r="F13" s="47" t="str">
        <x:v>Empty scheduler cycle succeeds</x:v>
      </x:c>
      <x:c r="G13" s="47" t="str">
        <x:v>Background Job</x:v>
      </x:c>
      <x:c r="H13" s="53" t="str">
        <x:v>P1</x:v>
      </x:c>
      <x:c r="I13" s="53" t="str">
        <x:v>High</x:v>
      </x:c>
      <x:c r="J13" s="47" t="str">
        <x:v>Scheduler</x:v>
      </x:c>
      <x:c r="K13" s="47" t="str">
        <x:v>Docker scheduler running; records before/at/after each threshold; mocked email/Meta failures; two tenants.</x:v>
      </x:c>
      <x:c r="L13" s="47" t="str">
        <x:v>Due timestamps, last-sent markers, retryable errors, inactive agencies/users and empty queues.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Prepare: Docker scheduler running; records before/at/after each threshold; mocked email/Meta failures; two tenants.
2. Sign in/use role: Scheduler.
3. Navigate to No direct UI entry except automation process/dashboard and resulting notifications/statuses and capture the initial UI/API/database state.
4. Execute: Ensure no record is due and execute every management command.
5. Inspect the network request/response against: Management commands: process_listing_freshness; process_lead_automation; send_due_reminders; send_task_reminders; send_saved_search_alerts; publish_scheduled_posts.
6. Refresh/re-query the feature and related modules: Database, SMTP, Meta Graph, all time-based product promises.
7. Verify affected models (Properties, Leads, SiteVisits, Tasks, SavedSearches, SocialPosts, Notifications and error/timestamp fields) and all listed side effects.</x:v>
      </x:c>
      <x:c r="O13" s="47" t="str">
        <x:v>All commands exit 0 with zero-work counts and no error.</x:v>
      </x:c>
      <x:c r="P13" s="47" t="str">
        <x:v>No rows change.</x:v>
      </x:c>
      <x:c r="Q13" s="47" t="str">
        <x:v>No HTTP API; command output is accurate.</x:v>
      </x:c>
      <x:c r="R13" s="47" t="str">
        <x:v>No unexpected notifications/status changes.</x:v>
      </x:c>
      <x:c r="S13" s="47" t="str">
        <x:v>No external email/Meta calls.</x:v>
      </x:c>
      <x:c r="T13" s="47" t="str">
        <x:v>Database, SMTP, Meta Graph, all time-based product promises</x:v>
      </x:c>
      <x:c r="U13" s="47" t="str">
        <x:v>Restore mutated fixture state where required; retain evidence (request/response, screenshots, SQL counts and logs).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implementation. If observed behavior differs, log a defect; do not replace actual behavior with an unimplemented recommendation.</x:v>
      </x:c>
    </x:row>
    <x:row r="14" ht="78" customHeight="1">
      <x:c r="A14" s="50" t="str">
        <x:v>JOB-010</x:v>
      </x:c>
      <x:c r="B14" s="47" t="str">
        <x:v>Scheduler and Background Jobs</x:v>
      </x:c>
      <x:c r="C14" s="47" t="str">
        <x:v>Scheduler and Background Jobs</x:v>
      </x:c>
      <x:c r="D14" s="47" t="str">
        <x:v>One malformed record does not abort unrelated batch</x:v>
      </x:c>
      <x:c r="E14" s="47" t="str">
        <x:v>Create one invalid/stale due record among valid due records and run the command.</x:v>
      </x:c>
      <x:c r="F14" s="47" t="str">
        <x:v>One malformed record does not abort unrelated batch</x:v>
      </x:c>
      <x:c r="G14" s="47" t="str">
        <x:v>Recovery</x:v>
      </x:c>
      <x:c r="H14" s="53" t="str">
        <x:v>P0</x:v>
      </x:c>
      <x:c r="I14" s="53" t="str">
        <x:v>Critical</x:v>
      </x:c>
      <x:c r="J14" s="47" t="str">
        <x:v>Scheduler</x:v>
      </x:c>
      <x:c r="K14" s="47" t="str">
        <x:v>Docker scheduler running; records before/at/after each threshold; mocked email/Meta failures; two tenants.</x:v>
      </x:c>
      <x:c r="L14" s="47" t="str">
        <x:v>Due timestamps, last-sent markers, retryable errors, inactive agencies/users and empty queues.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Prepare: Docker scheduler running; records before/at/after each threshold; mocked email/Meta failures; two tenants.
2. Sign in/use role: Scheduler.
3. Navigate to No direct UI entry except automation process/dashboard and resulting notifications/statuses and capture the initial UI/API/database state.
4. Execute: Create one invalid/stale due record among valid due records and run the command.
5. Inspect the network request/response against: Management commands: process_listing_freshness; process_lead_automation; send_due_reminders; send_task_reminders; send_saved_search_alerts; publish_scheduled_posts.
6. Refresh/re-query the feature and related modules: Database, SMTP, Meta Graph, all time-based product promises.
7. Verify affected models (Properties, Leads, SiteVisits, Tasks, SavedSearches, SocialPosts, Notifications and error/timestamp fields) and all listed side effects.</x:v>
      </x:c>
      <x:c r="O14" s="47" t="str">
        <x:v>Behavior is per-item safe where implemented; valid items process and failure is logged. If whole batch aborts, document as risk.</x:v>
      </x:c>
      <x:c r="P14" s="47" t="str">
        <x:v>Valid rows update once; failed row retains retryable/error state; no partial corrupt writes.</x:v>
      </x:c>
      <x:c r="Q14" s="47" t="str">
        <x:v>Command exit/output identifies failure according to implementation.</x:v>
      </x:c>
      <x:c r="R14" s="47" t="str">
        <x:v>Managers can distinguish processed vs failed items.</x:v>
      </x:c>
      <x:c r="S14" s="47" t="str">
        <x:v>External calls for valid items still occur once.</x:v>
      </x:c>
      <x:c r="T14" s="47" t="str">
        <x:v>Database, SMTP, Meta Graph, all time-based product promises</x:v>
      </x:c>
      <x:c r="U14" s="47" t="str">
        <x:v>Restore mutated fixture state where required; retain evidence (request/response, screenshots, SQL counts and logs).</x:v>
      </x:c>
      <x:c r="V14" s="47" t="str"/>
      <x:c r="W14" s="53" t="str">
        <x:v>Not Run</x:v>
      </x:c>
      <x:c r="X14" s="53" t="str"/>
      <x:c r="Y14" s="53" t="str">
        <x:v>Maybe</x:v>
      </x:c>
      <x:c r="Z14" s="47" t="str">
        <x:v>Current implementation. If observed behavior differs, log a defect; do not replace actual behavior with an unimplemented recommendation.</x:v>
      </x:c>
    </x:row>
    <x:row r="15" ht="78" customHeight="1">
      <x:c r="A15" s="50" t="str">
        <x:v>JOB-011</x:v>
      </x:c>
      <x:c r="B15" s="47" t="str">
        <x:v>Scheduler and Background Jobs</x:v>
      </x:c>
      <x:c r="C15" s="47" t="str">
        <x:v>Scheduler and Background Jobs</x:v>
      </x:c>
      <x:c r="D15" s="47" t="str">
        <x:v>Concurrent scheduler invocation</x:v>
      </x:c>
      <x:c r="E15" s="47" t="str">
        <x:v>Start the same due command simultaneously against identical due records.</x:v>
      </x:c>
      <x:c r="F15" s="47" t="str">
        <x:v>Concurrent scheduler invocation</x:v>
      </x:c>
      <x:c r="G15" s="47" t="str">
        <x:v>Concurrency</x:v>
      </x:c>
      <x:c r="H15" s="53" t="str">
        <x:v>P0</x:v>
      </x:c>
      <x:c r="I15" s="53" t="str">
        <x:v>Critical</x:v>
      </x:c>
      <x:c r="J15" s="47" t="str">
        <x:v>Two scheduler processes</x:v>
      </x:c>
      <x:c r="K15" s="47" t="str">
        <x:v>Docker scheduler running; records before/at/after each threshold; mocked email/Meta failures; two tenants.</x:v>
      </x:c>
      <x:c r="L15" s="47" t="str">
        <x:v>Due timestamps, last-sent markers, retryable errors, inactive agencies/users and empty queues.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Prepare: Docker scheduler running; records before/at/after each threshold; mocked email/Meta failures; two tenants.
2. Sign in/use role: Two scheduler processes.
3. Navigate to No direct UI entry except automation process/dashboard and resulting notifications/statuses and capture the initial UI/API/database state.
4. Execute: Start the same due command simultaneously against identical due records.
5. Inspect the network request/response against: Management commands: process_listing_freshness; process_lead_automation; send_due_reminders; send_task_reminders; send_saved_search_alerts; publish_scheduled_posts.
6. Refresh/re-query the feature and related modules: Database, SMTP, Meta Graph, all time-based product promises.
7. Verify affected models (Properties, Leads, SiteVisits, Tasks, SavedSearches, SocialPosts, Notifications and error/timestamp fields) and all listed side effects.</x:v>
      </x:c>
      <x:c r="O15" s="47" t="str">
        <x:v>No duplicate reminder/post/assignment should occur. Current simple scheduler/locking limitations must be documented if duplicates appear.</x:v>
      </x:c>
      <x:c r="P15" s="47" t="str">
        <x:v>Inspect unique markers/events/notifications/provider IDs.</x:v>
      </x:c>
      <x:c r="Q15" s="47" t="str">
        <x:v>Both commands terminate safely; database integrity errors are handled.</x:v>
      </x:c>
      <x:c r="R15" s="47" t="str">
        <x:v>Users receive one logical side effect.</x:v>
      </x:c>
      <x:c r="S15" s="47" t="str">
        <x:v>No double remote publish/email.</x:v>
      </x:c>
      <x:c r="T15" s="47" t="str">
        <x:v>Database, SMTP, Meta Graph, all time-based product promises</x:v>
      </x:c>
      <x:c r="U15" s="47" t="str">
        <x:v>Restore mutated fixture state where required; retain evidence (request/response, screenshots, SQL counts and logs).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implementation. If observed behavior differs, log a defect; do not replace actual behavior with an unimplemented recommendation.</x:v>
      </x:c>
    </x:row>
    <x:row r="16" ht="78" customHeight="1">
      <x:c r="A16" s="51" t="str">
        <x:v>JOB-012</x:v>
      </x:c>
      <x:c r="B16" s="48" t="str">
        <x:v>Scheduler and Background Jobs</x:v>
      </x:c>
      <x:c r="C16" s="48" t="str">
        <x:v>Scheduler and Background Jobs</x:v>
      </x:c>
      <x:c r="D16" s="48" t="str">
        <x:v>Inactive agency records are skipped where eligibility requires</x:v>
      </x:c>
      <x:c r="E16" s="48" t="str">
        <x:v>Make due freshness/search/social/reminder records for suspended Agency A and active Agency B.</x:v>
      </x:c>
      <x:c r="F16" s="48" t="str">
        <x:v>Inactive agency records are skipped where eligibility requires</x:v>
      </x:c>
      <x:c r="G16" s="48" t="str">
        <x:v>Security</x:v>
      </x:c>
      <x:c r="H16" s="54" t="str">
        <x:v>P0</x:v>
      </x:c>
      <x:c r="I16" s="54" t="str">
        <x:v>Critical</x:v>
      </x:c>
      <x:c r="J16" s="48" t="str">
        <x:v>Scheduler</x:v>
      </x:c>
      <x:c r="K16" s="48" t="str">
        <x:v>Docker scheduler running; records before/at/after each threshold; mocked email/Meta failures; two tenants.</x:v>
      </x:c>
      <x:c r="L16" s="48" t="str">
        <x:v>Due timestamps, last-sent markers, retryable errors, inactive agencies/users and empty queues.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Prepare: Docker scheduler running; records before/at/after each threshold; mocked email/Meta failures; two tenants.
2. Sign in/use role: Scheduler.
3. Navigate to No direct UI entry except automation process/dashboard and resulting notifications/statuses and capture the initial UI/API/database state.
4. Execute: Make due freshness/search/social/reminder records for suspended Agency A and active Agency B.
5. Inspect the network request/response against: Management commands: process_listing_freshness; process_lead_automation; send_due_reminders; send_task_reminders; send_saved_search_alerts; publish_scheduled_posts.
6. Refresh/re-query the feature and related modules: Database, SMTP, Meta Graph, all time-based product promises.
7. Verify affected models (Properties, Leads, SiteVisits, Tasks, SavedSearches, SocialPosts, Notifications and error/timestamp fields) and all listed side effects.</x:v>
      </x:c>
      <x:c r="O16" s="48" t="str">
        <x:v>Public/communication jobs do not revive or expose suspended tenant; active tenant continues.</x:v>
      </x:c>
      <x:c r="P16" s="48" t="str">
        <x:v>A public state/notifications remain appropriately unchanged; B processes.</x:v>
      </x:c>
      <x:c r="Q16" s="48" t="str">
        <x:v>Command logs skipped/processed counts.</x:v>
      </x:c>
      <x:c r="R16" s="48" t="str">
        <x:v>No A customer/agent receives public activity.</x:v>
      </x:c>
      <x:c r="S16" s="48" t="str">
        <x:v>No Meta/email for A.</x:v>
      </x:c>
      <x:c r="T16" s="48" t="str">
        <x:v>Database, SMTP, Meta Graph, all time-based product promises</x:v>
      </x:c>
      <x:c r="U16" s="48" t="str">
        <x:v>Restore mutated fixture state where required; retain evidence (request/response, screenshots, SQL counts and logs).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implementation. If observed behavior differs, log a defect; do not replace actual behavior with an unimplemented recommendation.</x:v>
      </x:c>
    </x:row>
  </x:sheetData>
  <x:mergeCells>
    <x:mergeCell ref="A1:Z1"/>
    <x:mergeCell ref="A2:Z2"/>
  </x:mergeCells>
  <x:conditionalFormatting sqref="H5:H16">
    <x:cfRule type="expression" dxfId="208" priority="1">
      <x:formula>H5="P0"</x:formula>
    </x:cfRule>
    <x:cfRule type="expression" dxfId="209" priority="2">
      <x:formula>H5="P1"</x:formula>
    </x:cfRule>
    <x:cfRule type="expression" dxfId="210" priority="3">
      <x:formula>H5="P2"</x:formula>
    </x:cfRule>
    <x:cfRule type="expression" dxfId="211" priority="4">
      <x:formula>H5="P3"</x:formula>
    </x:cfRule>
  </x:conditionalFormatting>
  <x:conditionalFormatting sqref="W5:W16">
    <x:cfRule type="expression" dxfId="212" priority="5">
      <x:formula>W5="Passed"</x:formula>
    </x:cfRule>
    <x:cfRule type="expression" dxfId="213" priority="6">
      <x:formula>W5="Failed"</x:formula>
    </x:cfRule>
    <x:cfRule type="expression" dxfId="214" priority="7">
      <x:formula>W5="Blocked"</x:formula>
    </x:cfRule>
    <x:cfRule type="expression" dxfId="215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0028c5fb10410d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Security and Permissions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24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SEC-001</x:v>
      </x:c>
      <x:c r="B5" s="46" t="str">
        <x:v>Security and Permissions</x:v>
      </x:c>
      <x:c r="C5" s="46" t="str">
        <x:v>Security and Permissions</x:v>
      </x:c>
      <x:c r="D5" s="46" t="str">
        <x:v>Authentication bypass on protected API</x:v>
      </x:c>
      <x:c r="E5" s="46" t="str">
        <x:v>Call representative endpoints in properties, leads, operations, inbox and social modules without a valid JWT.</x:v>
      </x:c>
      <x:c r="F5" s="46" t="str">
        <x:v>Authentication bypass on protected API</x:v>
      </x:c>
      <x:c r="G5" s="46" t="str">
        <x:v>Security</x:v>
      </x:c>
      <x:c r="H5" s="52" t="str">
        <x:v>P0</x:v>
      </x:c>
      <x:c r="I5" s="52" t="str">
        <x:v>Critical</x:v>
      </x:c>
      <x:c r="J5" s="46" t="str">
        <x:v>No/forged JWT</x:v>
      </x:c>
      <x:c r="K5" s="46" t="str">
        <x:v>Use the reusable two-tenant QA data matrix and current Docker test environment.</x:v>
      </x:c>
      <x:c r="L5" s="46" t="str">
        <x:v>Agency A/B, representative role accounts, public/private records, valid/invalid tokens and deterministic timestamps.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Reset/seed deterministic fixtures.
2. Capture initial database/API/UI state.
3. Execute: Call representative endpoints in properties, leads, operations, inbox and social modules without a valid JWT.
4. Inspect response, UI, database, logs and downstream modules.
5. Repeat with tenant/role/failure variation where stated.
6. Compare against the pass condition.</x:v>
      </x:c>
      <x:c r="O5" s="46" t="str">
        <x:v>All protected endpoints return 401 and no data/side effect.</x:v>
      </x:c>
      <x:c r="P5" s="46" t="str">
        <x:v>Only rows explicitly required by the workflow may change; tenant B and unrelated records remain identical. Verify counts, foreign keys, histories, timestamps and rollback.</x:v>
      </x:c>
      <x:c r="Q5" s="46" t="str">
        <x:v>Use actual endpoints named in the relevant feature sheet/guide. Verify 2xx success and 400/401/403/404/409/429/5xx recovery behavior as applicable.</x:v>
      </x:c>
      <x:c r="R5" s="46" t="str">
        <x:v>UI must reflect server truth after refresh, show safe errors, and expose no unauthorized data.</x:v>
      </x:c>
      <x:c r="S5" s="46" t="str">
        <x:v>Verify notifications, email, scheduler markers, audit/events and external provider calls separately.</x:v>
      </x:c>
      <x:c r="T5" s="46" t="str">
        <x:v>Authentication, tenant scoping, all protected/public modules</x:v>
      </x:c>
      <x:c r="U5" s="46" t="str">
        <x:v>Retain evidence and restore mutable provider/test fixtures.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 unless explicitly labeled Requires clarification.</x:v>
      </x:c>
    </x:row>
    <x:row r="6" ht="78" customHeight="1">
      <x:c r="A6" s="50" t="str">
        <x:v>SEC-002</x:v>
      </x:c>
      <x:c r="B6" s="47" t="str">
        <x:v>Security and Permissions</x:v>
      </x:c>
      <x:c r="C6" s="47" t="str">
        <x:v>Security and Permissions</x:v>
      </x:c>
      <x:c r="D6" s="47" t="str">
        <x:v>JWT rejected after user deactivation</x:v>
      </x:c>
      <x:c r="E6" s="47" t="str">
        <x:v>Use a token issued before is_active becomes false.</x:v>
      </x:c>
      <x:c r="F6" s="47" t="str">
        <x:v>JWT rejected after user deactivation</x:v>
      </x:c>
      <x:c r="G6" s="47" t="str">
        <x:v>Security</x:v>
      </x:c>
      <x:c r="H6" s="53" t="str">
        <x:v>P0</x:v>
      </x:c>
      <x:c r="I6" s="53" t="str">
        <x:v>Critical</x:v>
      </x:c>
      <x:c r="J6" s="47" t="str">
        <x:v>Deactivated AgencyUser</x:v>
      </x:c>
      <x:c r="K6" s="47" t="str">
        <x:v>Use the reusable two-tenant QA data matrix and current Docker test environment.</x:v>
      </x:c>
      <x:c r="L6" s="47" t="str">
        <x:v>Agency A/B, representative role accounts, public/private records, valid/invalid tokens and deterministic timestamps.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Reset/seed deterministic fixtures.
2. Capture initial database/API/UI state.
3. Execute: Use a token issued before is_active becomes false.
4. Inspect response, UI, database, logs and downstream modules.
5. Repeat with tenant/role/failure variation where stated.
6. Compare against the pass condition.</x:v>
      </x:c>
      <x:c r="O6" s="47" t="str">
        <x:v>Authentication fails and protected data is unavailable.</x:v>
      </x:c>
      <x:c r="P6" s="47" t="str">
        <x:v>Only rows explicitly required by the workflow may change; tenant B and unrelated records remain identical. Verify counts, foreign keys, histories, timestamps and rollback.</x:v>
      </x:c>
      <x:c r="Q6" s="47" t="str">
        <x:v>Use actual endpoints named in the relevant feature sheet/guide. Verify 2xx success and 400/401/403/404/409/429/5xx recovery behavior as applicable.</x:v>
      </x:c>
      <x:c r="R6" s="47" t="str">
        <x:v>UI must reflect server truth after refresh, show safe errors, and expose no unauthorized data.</x:v>
      </x:c>
      <x:c r="S6" s="47" t="str">
        <x:v>Verify notifications, email, scheduler markers, audit/events and external provider calls separately.</x:v>
      </x:c>
      <x:c r="T6" s="47" t="str">
        <x:v>Authentication, tenant scoping, all protected/public modules</x:v>
      </x:c>
      <x:c r="U6" s="47" t="str">
        <x:v>Retain evidence and restore mutable provider/test fixtures.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 unless explicitly labeled Requires clarification.</x:v>
      </x:c>
    </x:row>
    <x:row r="7" ht="78" customHeight="1">
      <x:c r="A7" s="50" t="str">
        <x:v>SEC-003</x:v>
      </x:c>
      <x:c r="B7" s="47" t="str">
        <x:v>Security and Permissions</x:v>
      </x:c>
      <x:c r="C7" s="47" t="str">
        <x:v>Security and Permissions</x:v>
      </x:c>
      <x:c r="D7" s="47" t="str">
        <x:v>JWT rejected after subscription expiry</x:v>
      </x:c>
      <x:c r="E7" s="47" t="str">
        <x:v>Use a token issued while paid after entitlement expires.</x:v>
      </x:c>
      <x:c r="F7" s="47" t="str">
        <x:v>JWT rejected after subscription expiry</x:v>
      </x:c>
      <x:c r="G7" s="47" t="str">
        <x:v>Security</x:v>
      </x:c>
      <x:c r="H7" s="53" t="str">
        <x:v>P0</x:v>
      </x:c>
      <x:c r="I7" s="53" t="str">
        <x:v>Critical</x:v>
      </x:c>
      <x:c r="J7" s="47" t="str">
        <x:v>Expired Agency</x:v>
      </x:c>
      <x:c r="K7" s="47" t="str">
        <x:v>Use the reusable two-tenant QA data matrix and current Docker test environment.</x:v>
      </x:c>
      <x:c r="L7" s="47" t="str">
        <x:v>Agency A/B, representative role accounts, public/private records, valid/invalid tokens and deterministic timestamps.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Reset/seed deterministic fixtures.
2. Capture initial database/API/UI state.
3. Execute: Use a token issued while paid after entitlement expires.
4. Inspect response, UI, database, logs and downstream modules.
5. Repeat with tenant/role/failure variation where stated.
6. Compare against the pass condition.</x:v>
      </x:c>
      <x:c r="O7" s="47" t="str">
        <x:v>AgencyJWTAuthentication returns 401; tenant rows are retained.</x:v>
      </x:c>
      <x:c r="P7" s="47" t="str">
        <x:v>Only rows explicitly required by the workflow may change; tenant B and unrelated records remain identical. Verify counts, foreign keys, histories, timestamps and rollback.</x:v>
      </x:c>
      <x:c r="Q7" s="47" t="str">
        <x:v>Use actual endpoints named in the relevant feature sheet/guide. Verify 2xx success and 400/401/403/404/409/429/5xx recovery behavior as applicable.</x:v>
      </x:c>
      <x:c r="R7" s="47" t="str">
        <x:v>UI must reflect server truth after refresh, show safe errors, and expose no unauthorized data.</x:v>
      </x:c>
      <x:c r="S7" s="47" t="str">
        <x:v>Verify notifications, email, scheduler markers, audit/events and external provider calls separately.</x:v>
      </x:c>
      <x:c r="T7" s="47" t="str">
        <x:v>Authentication, tenant scoping, all protected/public modules</x:v>
      </x:c>
      <x:c r="U7" s="47" t="str">
        <x:v>Retain evidence and restore mutable provider/test fixtures.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 unless explicitly labeled Requires clarification.</x:v>
      </x:c>
    </x:row>
    <x:row r="8" ht="78" customHeight="1">
      <x:c r="A8" s="50" t="str">
        <x:v>SEC-004</x:v>
      </x:c>
      <x:c r="B8" s="47" t="str">
        <x:v>Security and Permissions</x:v>
      </x:c>
      <x:c r="C8" s="47" t="str">
        <x:v>Security and Permissions</x:v>
      </x:c>
      <x:c r="D8" s="47" t="str">
        <x:v>Cross-tenant IDOR matrix</x:v>
      </x:c>
      <x:c r="E8" s="47" t="str">
        <x:v>Try Agency B IDs across every detail/action/upload/export endpoint.</x:v>
      </x:c>
      <x:c r="F8" s="47" t="str">
        <x:v>Cross-tenant IDOR matrix</x:v>
      </x:c>
      <x:c r="G8" s="47" t="str">
        <x:v>Security</x:v>
      </x:c>
      <x:c r="H8" s="53" t="str">
        <x:v>P0</x:v>
      </x:c>
      <x:c r="I8" s="53" t="str">
        <x:v>Critical</x:v>
      </x:c>
      <x:c r="J8" s="47" t="str">
        <x:v>Agency A user</x:v>
      </x:c>
      <x:c r="K8" s="47" t="str">
        <x:v>Use the reusable two-tenant QA data matrix and current Docker test environment.</x:v>
      </x:c>
      <x:c r="L8" s="47" t="str">
        <x:v>Agency A/B, representative role accounts, public/private records, valid/invalid tokens and deterministic timestamps.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Reset/seed deterministic fixtures.
2. Capture initial database/API/UI state.
3. Execute: Try Agency B IDs across every detail/action/upload/export endpoint.
4. Inspect response, UI, database, logs and downstream modules.
5. Repeat with tenant/role/failure variation where stated.
6. Compare against the pass condition.</x:v>
      </x:c>
      <x:c r="O8" s="47" t="str">
        <x:v>No B data or mutation; 404/403 consistently.</x:v>
      </x:c>
      <x:c r="P8" s="47" t="str">
        <x:v>Only rows explicitly required by the workflow may change; tenant B and unrelated records remain identical. Verify counts, foreign keys, histories, timestamps and rollback.</x:v>
      </x:c>
      <x:c r="Q8" s="47" t="str">
        <x:v>Use actual endpoints named in the relevant feature sheet/guide. Verify 2xx success and 400/401/403/404/409/429/5xx recovery behavior as applicable.</x:v>
      </x:c>
      <x:c r="R8" s="47" t="str">
        <x:v>UI must reflect server truth after refresh, show safe errors, and expose no unauthorized data.</x:v>
      </x:c>
      <x:c r="S8" s="47" t="str">
        <x:v>Verify notifications, email, scheduler markers, audit/events and external provider calls separately.</x:v>
      </x:c>
      <x:c r="T8" s="47" t="str">
        <x:v>Authentication, tenant scoping, all protected/public modules</x:v>
      </x:c>
      <x:c r="U8" s="47" t="str">
        <x:v>Retain evidence and restore mutable provider/test fixtures.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 unless explicitly labeled Requires clarification.</x:v>
      </x:c>
    </x:row>
    <x:row r="9" ht="78" customHeight="1">
      <x:c r="A9" s="50" t="str">
        <x:v>SEC-005</x:v>
      </x:c>
      <x:c r="B9" s="47" t="str">
        <x:v>Security and Permissions</x:v>
      </x:c>
      <x:c r="C9" s="47" t="str">
        <x:v>Security and Permissions</x:v>
      </x:c>
      <x:c r="D9" s="47" t="str">
        <x:v>Cross-tenant relationship injection</x:v>
      </x:c>
      <x:c r="E9" s="47" t="str">
        <x:v>Post B agent/property/lead/deal/contact/owner/account IDs into A serializers.</x:v>
      </x:c>
      <x:c r="F9" s="47" t="str">
        <x:v>Cross-tenant relationship injection</x:v>
      </x:c>
      <x:c r="G9" s="47" t="str">
        <x:v>Security</x:v>
      </x:c>
      <x:c r="H9" s="53" t="str">
        <x:v>P0</x:v>
      </x:c>
      <x:c r="I9" s="53" t="str">
        <x:v>Critical</x:v>
      </x:c>
      <x:c r="J9" s="47" t="str">
        <x:v>Agency A manager</x:v>
      </x:c>
      <x:c r="K9" s="47" t="str">
        <x:v>Use the reusable two-tenant QA data matrix and current Docker test environment.</x:v>
      </x:c>
      <x:c r="L9" s="47" t="str">
        <x:v>Agency A/B, representative role accounts, public/private records, valid/invalid tokens and deterministic timestamps.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Reset/seed deterministic fixtures.
2. Capture initial database/API/UI state.
3. Execute: Post B agent/property/lead/deal/contact/owner/account IDs into A serializers.
4. Inspect response, UI, database, logs and downstream modules.
5. Repeat with tenant/role/failure variation where stated.
6. Compare against the pass condition.</x:v>
      </x:c>
      <x:c r="O9" s="47" t="str">
        <x:v>Validation rejects mixed-tenant foreign keys.</x:v>
      </x:c>
      <x:c r="P9" s="47" t="str">
        <x:v>Only rows explicitly required by the workflow may change; tenant B and unrelated records remain identical. Verify counts, foreign keys, histories, timestamps and rollback.</x:v>
      </x:c>
      <x:c r="Q9" s="47" t="str">
        <x:v>Use actual endpoints named in the relevant feature sheet/guide. Verify 2xx success and 400/401/403/404/409/429/5xx recovery behavior as applicable.</x:v>
      </x:c>
      <x:c r="R9" s="47" t="str">
        <x:v>UI must reflect server truth after refresh, show safe errors, and expose no unauthorized data.</x:v>
      </x:c>
      <x:c r="S9" s="47" t="str">
        <x:v>Verify notifications, email, scheduler markers, audit/events and external provider calls separately.</x:v>
      </x:c>
      <x:c r="T9" s="47" t="str">
        <x:v>Authentication, tenant scoping, all protected/public modules</x:v>
      </x:c>
      <x:c r="U9" s="47" t="str">
        <x:v>Retain evidence and restore mutable provider/test fixtures.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 unless explicitly labeled Requires clarification.</x:v>
      </x:c>
    </x:row>
    <x:row r="10" ht="78" customHeight="1">
      <x:c r="A10" s="50" t="str">
        <x:v>SEC-006</x:v>
      </x:c>
      <x:c r="B10" s="47" t="str">
        <x:v>Security and Permissions</x:v>
      </x:c>
      <x:c r="C10" s="47" t="str">
        <x:v>Security and Permissions</x:v>
      </x:c>
      <x:c r="D10" s="47" t="str">
        <x:v>Agent privilege escalation by role field</x:v>
      </x:c>
      <x:c r="E10" s="47" t="str">
        <x:v>PATCH own/other user role, agency, is_active or protected settings.</x:v>
      </x:c>
      <x:c r="F10" s="47" t="str">
        <x:v>Agent privilege escalation by role field</x:v>
      </x:c>
      <x:c r="G10" s="47" t="str">
        <x:v>Security</x:v>
      </x:c>
      <x:c r="H10" s="53" t="str">
        <x:v>P0</x:v>
      </x:c>
      <x:c r="I10" s="53" t="str">
        <x:v>Critical</x:v>
      </x:c>
      <x:c r="J10" s="47" t="str">
        <x:v>Agent</x:v>
      </x:c>
      <x:c r="K10" s="47" t="str">
        <x:v>Use the reusable two-tenant QA data matrix and current Docker test environment.</x:v>
      </x:c>
      <x:c r="L10" s="47" t="str">
        <x:v>Agency A/B, representative role accounts, public/private records, valid/invalid tokens and deterministic timestamps.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Reset/seed deterministic fixtures.
2. Capture initial database/API/UI state.
3. Execute: PATCH own/other user role, agency, is_active or protected settings.
4. Inspect response, UI, database, logs and downstream modules.
5. Repeat with tenant/role/failure variation where stated.
6. Compare against the pass condition.</x:v>
      </x:c>
      <x:c r="O10" s="47" t="str">
        <x:v>Role/tenant/access fields remain unchanged; request forbidden/ignored safely.</x:v>
      </x:c>
      <x:c r="P10" s="47" t="str">
        <x:v>Only rows explicitly required by the workflow may change; tenant B and unrelated records remain identical. Verify counts, foreign keys, histories, timestamps and rollback.</x:v>
      </x:c>
      <x:c r="Q10" s="47" t="str">
        <x:v>Use actual endpoints named in the relevant feature sheet/guide. Verify 2xx success and 400/401/403/404/409/429/5xx recovery behavior as applicable.</x:v>
      </x:c>
      <x:c r="R10" s="47" t="str">
        <x:v>UI must reflect server truth after refresh, show safe errors, and expose no unauthorized data.</x:v>
      </x:c>
      <x:c r="S10" s="47" t="str">
        <x:v>Verify notifications, email, scheduler markers, audit/events and external provider calls separately.</x:v>
      </x:c>
      <x:c r="T10" s="47" t="str">
        <x:v>Authentication, tenant scoping, all protected/public modules</x:v>
      </x:c>
      <x:c r="U10" s="47" t="str">
        <x:v>Retain evidence and restore mutable provider/test fixtures.</x:v>
      </x:c>
      <x:c r="V10" s="47" t="str"/>
      <x:c r="W10" s="53" t="str">
        <x:v>Not Run</x:v>
      </x:c>
      <x:c r="X10" s="53" t="str"/>
      <x:c r="Y10" s="53" t="str">
        <x:v>Yes</x:v>
      </x:c>
      <x:c r="Z10" s="47" t="str">
        <x:v>Current implementation unless explicitly labeled Requires clarification.</x:v>
      </x:c>
    </x:row>
    <x:row r="11" ht="78" customHeight="1">
      <x:c r="A11" s="50" t="str">
        <x:v>SEC-007</x:v>
      </x:c>
      <x:c r="B11" s="47" t="str">
        <x:v>Security and Permissions</x:v>
      </x:c>
      <x:c r="C11" s="47" t="str">
        <x:v>Security and Permissions</x:v>
      </x:c>
      <x:c r="D11" s="47" t="str">
        <x:v>Owner cannot mutate payment entitlement through profile</x:v>
      </x:c>
      <x:c r="E11" s="47" t="str">
        <x:v>PATCH Agency payment_status/paid_at through /agencies/me/.</x:v>
      </x:c>
      <x:c r="F11" s="47" t="str">
        <x:v>Owner cannot mutate payment entitlement through profile</x:v>
      </x:c>
      <x:c r="G11" s="47" t="str">
        <x:v>Security</x:v>
      </x:c>
      <x:c r="H11" s="53" t="str">
        <x:v>P0</x:v>
      </x:c>
      <x:c r="I11" s="53" t="str">
        <x:v>Critical</x:v>
      </x:c>
      <x:c r="J11" s="47" t="str">
        <x:v>Agency Owner</x:v>
      </x:c>
      <x:c r="K11" s="47" t="str">
        <x:v>Use the reusable two-tenant QA data matrix and current Docker test environment.</x:v>
      </x:c>
      <x:c r="L11" s="47" t="str">
        <x:v>Agency A/B, representative role accounts, public/private records, valid/invalid tokens and deterministic timestamps.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Reset/seed deterministic fixtures.
2. Capture initial database/API/UI state.
3. Execute: PATCH Agency payment_status/paid_at through /agencies/me/.
4. Inspect response, UI, database, logs and downstream modules.
5. Repeat with tenant/role/failure variation where stated.
6. Compare against the pass condition.</x:v>
      </x:c>
      <x:c r="O11" s="47" t="str">
        <x:v>Payment state remains server/platform controlled.</x:v>
      </x:c>
      <x:c r="P11" s="47" t="str">
        <x:v>Only rows explicitly required by the workflow may change; tenant B and unrelated records remain identical. Verify counts, foreign keys, histories, timestamps and rollback.</x:v>
      </x:c>
      <x:c r="Q11" s="47" t="str">
        <x:v>Use actual endpoints named in the relevant feature sheet/guide. Verify 2xx success and 400/401/403/404/409/429/5xx recovery behavior as applicable.</x:v>
      </x:c>
      <x:c r="R11" s="47" t="str">
        <x:v>UI must reflect server truth after refresh, show safe errors, and expose no unauthorized data.</x:v>
      </x:c>
      <x:c r="S11" s="47" t="str">
        <x:v>Verify notifications, email, scheduler markers, audit/events and external provider calls separately.</x:v>
      </x:c>
      <x:c r="T11" s="47" t="str">
        <x:v>Authentication, tenant scoping, all protected/public modules</x:v>
      </x:c>
      <x:c r="U11" s="47" t="str">
        <x:v>Retain evidence and restore mutable provider/test fixtures.</x:v>
      </x:c>
      <x:c r="V11" s="47" t="str"/>
      <x:c r="W11" s="53" t="str">
        <x:v>Not Run</x:v>
      </x:c>
      <x:c r="X11" s="53" t="str"/>
      <x:c r="Y11" s="53" t="str">
        <x:v>Yes</x:v>
      </x:c>
      <x:c r="Z11" s="47" t="str">
        <x:v>Current implementation unless explicitly labeled Requires clarification.</x:v>
      </x:c>
    </x:row>
    <x:row r="12" ht="78" customHeight="1">
      <x:c r="A12" s="50" t="str">
        <x:v>SEC-008</x:v>
      </x:c>
      <x:c r="B12" s="47" t="str">
        <x:v>Security and Permissions</x:v>
      </x:c>
      <x:c r="C12" s="47" t="str">
        <x:v>Security and Permissions</x:v>
      </x:c>
      <x:c r="D12" s="47" t="str">
        <x:v>Super-admin route isolation</x:v>
      </x:c>
      <x:c r="E12" s="47" t="str">
        <x:v>Call platform agencies/admin summary and attempt suspension.</x:v>
      </x:c>
      <x:c r="F12" s="47" t="str">
        <x:v>Super-admin route isolation</x:v>
      </x:c>
      <x:c r="G12" s="47" t="str">
        <x:v>Security</x:v>
      </x:c>
      <x:c r="H12" s="53" t="str">
        <x:v>P0</x:v>
      </x:c>
      <x:c r="I12" s="53" t="str">
        <x:v>Critical</x:v>
      </x:c>
      <x:c r="J12" s="47" t="str">
        <x:v>Agency Owner</x:v>
      </x:c>
      <x:c r="K12" s="47" t="str">
        <x:v>Use the reusable two-tenant QA data matrix and current Docker test environment.</x:v>
      </x:c>
      <x:c r="L12" s="47" t="str">
        <x:v>Agency A/B, representative role accounts, public/private records, valid/invalid tokens and deterministic timestamps.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Reset/seed deterministic fixtures.
2. Capture initial database/API/UI state.
3. Execute: Call platform agencies/admin summary and attempt suspension.
4. Inspect response, UI, database, logs and downstream modules.
5. Repeat with tenant/role/failure variation where stated.
6. Compare against the pass condition.</x:v>
      </x:c>
      <x:c r="O12" s="47" t="str">
        <x:v>403 and no platform data/mutation.</x:v>
      </x:c>
      <x:c r="P12" s="47" t="str">
        <x:v>Only rows explicitly required by the workflow may change; tenant B and unrelated records remain identical. Verify counts, foreign keys, histories, timestamps and rollback.</x:v>
      </x:c>
      <x:c r="Q12" s="47" t="str">
        <x:v>Use actual endpoints named in the relevant feature sheet/guide. Verify 2xx success and 400/401/403/404/409/429/5xx recovery behavior as applicable.</x:v>
      </x:c>
      <x:c r="R12" s="47" t="str">
        <x:v>UI must reflect server truth after refresh, show safe errors, and expose no unauthorized data.</x:v>
      </x:c>
      <x:c r="S12" s="47" t="str">
        <x:v>Verify notifications, email, scheduler markers, audit/events and external provider calls separately.</x:v>
      </x:c>
      <x:c r="T12" s="47" t="str">
        <x:v>Authentication, tenant scoping, all protected/public modules</x:v>
      </x:c>
      <x:c r="U12" s="47" t="str">
        <x:v>Retain evidence and restore mutable provider/test fixtures.</x:v>
      </x:c>
      <x:c r="V12" s="47" t="str"/>
      <x:c r="W12" s="53" t="str">
        <x:v>Not Run</x:v>
      </x:c>
      <x:c r="X12" s="53" t="str"/>
      <x:c r="Y12" s="53" t="str">
        <x:v>Yes</x:v>
      </x:c>
      <x:c r="Z12" s="47" t="str">
        <x:v>Current implementation unless explicitly labeled Requires clarification.</x:v>
      </x:c>
    </x:row>
    <x:row r="13" ht="78" customHeight="1">
      <x:c r="A13" s="50" t="str">
        <x:v>SEC-009</x:v>
      </x:c>
      <x:c r="B13" s="47" t="str">
        <x:v>Security and Permissions</x:v>
      </x:c>
      <x:c r="C13" s="47" t="str">
        <x:v>Security and Permissions</x:v>
      </x:c>
      <x:c r="D13" s="47" t="str">
        <x:v>Customer token tenant isolation</x:v>
      </x:c>
      <x:c r="E13" s="47" t="str">
        <x:v>Use token on Agency B customer endpoints.</x:v>
      </x:c>
      <x:c r="F13" s="47" t="str">
        <x:v>Customer token tenant isolation</x:v>
      </x:c>
      <x:c r="G13" s="47" t="str">
        <x:v>Security</x:v>
      </x:c>
      <x:c r="H13" s="53" t="str">
        <x:v>P0</x:v>
      </x:c>
      <x:c r="I13" s="53" t="str">
        <x:v>Critical</x:v>
      </x:c>
      <x:c r="J13" s="47" t="str">
        <x:v>Customer A</x:v>
      </x:c>
      <x:c r="K13" s="47" t="str">
        <x:v>Use the reusable two-tenant QA data matrix and current Docker test environment.</x:v>
      </x:c>
      <x:c r="L13" s="47" t="str">
        <x:v>Agency A/B, representative role accounts, public/private records, valid/invalid tokens and deterministic timestamps.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Reset/seed deterministic fixtures.
2. Capture initial database/API/UI state.
3. Execute: Use token on Agency B customer endpoints.
4. Inspect response, UI, database, logs and downstream modules.
5. Repeat with tenant/role/failure variation where stated.
6. Compare against the pass condition.</x:v>
      </x:c>
      <x:c r="O13" s="47" t="str">
        <x:v>Unauthorized with no B/customer data.</x:v>
      </x:c>
      <x:c r="P13" s="47" t="str">
        <x:v>Only rows explicitly required by the workflow may change; tenant B and unrelated records remain identical. Verify counts, foreign keys, histories, timestamps and rollback.</x:v>
      </x:c>
      <x:c r="Q13" s="47" t="str">
        <x:v>Use actual endpoints named in the relevant feature sheet/guide. Verify 2xx success and 400/401/403/404/409/429/5xx recovery behavior as applicable.</x:v>
      </x:c>
      <x:c r="R13" s="47" t="str">
        <x:v>UI must reflect server truth after refresh, show safe errors, and expose no unauthorized data.</x:v>
      </x:c>
      <x:c r="S13" s="47" t="str">
        <x:v>Verify notifications, email, scheduler markers, audit/events and external provider calls separately.</x:v>
      </x:c>
      <x:c r="T13" s="47" t="str">
        <x:v>Authentication, tenant scoping, all protected/public modules</x:v>
      </x:c>
      <x:c r="U13" s="47" t="str">
        <x:v>Retain evidence and restore mutable provider/test fixtures.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 unless explicitly labeled Requires clarification.</x:v>
      </x:c>
    </x:row>
    <x:row r="14" ht="78" customHeight="1">
      <x:c r="A14" s="50" t="str">
        <x:v>SEC-010</x:v>
      </x:c>
      <x:c r="B14" s="47" t="str">
        <x:v>Security and Permissions</x:v>
      </x:c>
      <x:c r="C14" s="47" t="str">
        <x:v>Security and Permissions</x:v>
      </x:c>
      <x:c r="D14" s="47" t="str">
        <x:v>Customer token cannot call staff APIs</x:v>
      </x:c>
      <x:c r="E14" s="47" t="str">
        <x:v>Place customer token in Authorization/customer headers for protected staff routes.</x:v>
      </x:c>
      <x:c r="F14" s="47" t="str">
        <x:v>Customer token cannot call staff APIs</x:v>
      </x:c>
      <x:c r="G14" s="47" t="str">
        <x:v>Security</x:v>
      </x:c>
      <x:c r="H14" s="53" t="str">
        <x:v>P0</x:v>
      </x:c>
      <x:c r="I14" s="53" t="str">
        <x:v>Critical</x:v>
      </x:c>
      <x:c r="J14" s="47" t="str">
        <x:v>Customer</x:v>
      </x:c>
      <x:c r="K14" s="47" t="str">
        <x:v>Use the reusable two-tenant QA data matrix and current Docker test environment.</x:v>
      </x:c>
      <x:c r="L14" s="47" t="str">
        <x:v>Agency A/B, representative role accounts, public/private records, valid/invalid tokens and deterministic timestamps.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Reset/seed deterministic fixtures.
2. Capture initial database/API/UI state.
3. Execute: Place customer token in Authorization/customer headers for protected staff routes.
4. Inspect response, UI, database, logs and downstream modules.
5. Repeat with tenant/role/failure variation where stated.
6. Compare against the pass condition.</x:v>
      </x:c>
      <x:c r="O14" s="47" t="str">
        <x:v>401; no privilege bridge.</x:v>
      </x:c>
      <x:c r="P14" s="47" t="str">
        <x:v>Only rows explicitly required by the workflow may change; tenant B and unrelated records remain identical. Verify counts, foreign keys, histories, timestamps and rollback.</x:v>
      </x:c>
      <x:c r="Q14" s="47" t="str">
        <x:v>Use actual endpoints named in the relevant feature sheet/guide. Verify 2xx success and 400/401/403/404/409/429/5xx recovery behavior as applicable.</x:v>
      </x:c>
      <x:c r="R14" s="47" t="str">
        <x:v>UI must reflect server truth after refresh, show safe errors, and expose no unauthorized data.</x:v>
      </x:c>
      <x:c r="S14" s="47" t="str">
        <x:v>Verify notifications, email, scheduler markers, audit/events and external provider calls separately.</x:v>
      </x:c>
      <x:c r="T14" s="47" t="str">
        <x:v>Authentication, tenant scoping, all protected/public modules</x:v>
      </x:c>
      <x:c r="U14" s="47" t="str">
        <x:v>Retain evidence and restore mutable provider/test fixtures.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 unless explicitly labeled Requires clarification.</x:v>
      </x:c>
    </x:row>
    <x:row r="15" ht="78" customHeight="1">
      <x:c r="A15" s="50" t="str">
        <x:v>SEC-011</x:v>
      </x:c>
      <x:c r="B15" s="47" t="str">
        <x:v>Security and Permissions</x:v>
      </x:c>
      <x:c r="C15" s="47" t="str">
        <x:v>Security and Permissions</x:v>
      </x:c>
      <x:c r="D15" s="47" t="str">
        <x:v>Public private-listing bypass</x:v>
      </x:c>
      <x:c r="E15" s="47" t="str">
        <x:v>Guess ID/share slug/short code for draft, expired, sold, rented or unpublished property.</x:v>
      </x:c>
      <x:c r="F15" s="47" t="str">
        <x:v>Public private-listing bypass</x:v>
      </x:c>
      <x:c r="G15" s="47" t="str">
        <x:v>Security</x:v>
      </x:c>
      <x:c r="H15" s="53" t="str">
        <x:v>P0</x:v>
      </x:c>
      <x:c r="I15" s="53" t="str">
        <x:v>Critical</x:v>
      </x:c>
      <x:c r="J15" s="47" t="str">
        <x:v>Anonymous</x:v>
      </x:c>
      <x:c r="K15" s="47" t="str">
        <x:v>Use the reusable two-tenant QA data matrix and current Docker test environment.</x:v>
      </x:c>
      <x:c r="L15" s="47" t="str">
        <x:v>Agency A/B, representative role accounts, public/private records, valid/invalid tokens and deterministic timestamps.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Reset/seed deterministic fixtures.
2. Capture initial database/API/UI state.
3. Execute: Guess ID/share slug/short code for draft, expired, sold, rented or unpublished property.
4. Inspect response, UI, database, logs and downstream modules.
5. Repeat with tenant/role/failure variation where stated.
6. Compare against the pass condition.</x:v>
      </x:c>
      <x:c r="O15" s="47" t="str">
        <x:v>All public paths exclude the record.</x:v>
      </x:c>
      <x:c r="P15" s="47" t="str">
        <x:v>Only rows explicitly required by the workflow may change; tenant B and unrelated records remain identical. Verify counts, foreign keys, histories, timestamps and rollback.</x:v>
      </x:c>
      <x:c r="Q15" s="47" t="str">
        <x:v>Use actual endpoints named in the relevant feature sheet/guide. Verify 2xx success and 400/401/403/404/409/429/5xx recovery behavior as applicable.</x:v>
      </x:c>
      <x:c r="R15" s="47" t="str">
        <x:v>UI must reflect server truth after refresh, show safe errors, and expose no unauthorized data.</x:v>
      </x:c>
      <x:c r="S15" s="47" t="str">
        <x:v>Verify notifications, email, scheduler markers, audit/events and external provider calls separately.</x:v>
      </x:c>
      <x:c r="T15" s="47" t="str">
        <x:v>Authentication, tenant scoping, all protected/public modules</x:v>
      </x:c>
      <x:c r="U15" s="47" t="str">
        <x:v>Retain evidence and restore mutable provider/test fixtures.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 unless explicitly labeled Requires clarification.</x:v>
      </x:c>
    </x:row>
    <x:row r="16" ht="78" customHeight="1">
      <x:c r="A16" s="50" t="str">
        <x:v>SEC-012</x:v>
      </x:c>
      <x:c r="B16" s="47" t="str">
        <x:v>Security and Permissions</x:v>
      </x:c>
      <x:c r="C16" s="47" t="str">
        <x:v>Security and Permissions</x:v>
      </x:c>
      <x:c r="D16" s="47" t="str">
        <x:v>Public private-document disclosure</x:v>
      </x:c>
      <x:c r="E16" s="47" t="str">
        <x:v>Fetch verified property and inspect JSON/HTML/network/cache.</x:v>
      </x:c>
      <x:c r="F16" s="47" t="str">
        <x:v>Public private-document disclosure</x:v>
      </x:c>
      <x:c r="G16" s="47" t="str">
        <x:v>Security</x:v>
      </x:c>
      <x:c r="H16" s="53" t="str">
        <x:v>P0</x:v>
      </x:c>
      <x:c r="I16" s="53" t="str">
        <x:v>Critical</x:v>
      </x:c>
      <x:c r="J16" s="47" t="str">
        <x:v>Anonymous</x:v>
      </x:c>
      <x:c r="K16" s="47" t="str">
        <x:v>Use the reusable two-tenant QA data matrix and current Docker test environment.</x:v>
      </x:c>
      <x:c r="L16" s="47" t="str">
        <x:v>Agency A/B, representative role accounts, public/private records, valid/invalid tokens and deterministic timestamps.</x:v>
      </x:c>
      <x:c r="M1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7" t="str">
        <x:v>1. Reset/seed deterministic fixtures.
2. Capture initial database/API/UI state.
3. Execute: Fetch verified property and inspect JSON/HTML/network/cache.
4. Inspect response, UI, database, logs and downstream modules.
5. Repeat with tenant/role/failure variation where stated.
6. Compare against the pass condition.</x:v>
      </x:c>
      <x:c r="O16" s="47" t="str">
        <x:v>No verification files, owner IDs, document numbers or reviewer notes.</x:v>
      </x:c>
      <x:c r="P16" s="47" t="str">
        <x:v>Only rows explicitly required by the workflow may change; tenant B and unrelated records remain identical. Verify counts, foreign keys, histories, timestamps and rollback.</x:v>
      </x:c>
      <x:c r="Q16" s="47" t="str">
        <x:v>Use actual endpoints named in the relevant feature sheet/guide. Verify 2xx success and 400/401/403/404/409/429/5xx recovery behavior as applicable.</x:v>
      </x:c>
      <x:c r="R16" s="47" t="str">
        <x:v>UI must reflect server truth after refresh, show safe errors, and expose no unauthorized data.</x:v>
      </x:c>
      <x:c r="S16" s="47" t="str">
        <x:v>Verify notifications, email, scheduler markers, audit/events and external provider calls separately.</x:v>
      </x:c>
      <x:c r="T16" s="47" t="str">
        <x:v>Authentication, tenant scoping, all protected/public modules</x:v>
      </x:c>
      <x:c r="U16" s="47" t="str">
        <x:v>Retain evidence and restore mutable provider/test fixtures.</x:v>
      </x:c>
      <x:c r="V16" s="47" t="str"/>
      <x:c r="W16" s="53" t="str">
        <x:v>Not Run</x:v>
      </x:c>
      <x:c r="X16" s="53" t="str"/>
      <x:c r="Y16" s="53" t="str">
        <x:v>Yes</x:v>
      </x:c>
      <x:c r="Z16" s="47" t="str">
        <x:v>Current implementation unless explicitly labeled Requires clarification.</x:v>
      </x:c>
    </x:row>
    <x:row r="17" ht="78" customHeight="1">
      <x:c r="A17" s="50" t="str">
        <x:v>SEC-013</x:v>
      </x:c>
      <x:c r="B17" s="47" t="str">
        <x:v>Security and Permissions</x:v>
      </x:c>
      <x:c r="C17" s="47" t="str">
        <x:v>Security and Permissions</x:v>
      </x:c>
      <x:c r="D17" s="47" t="str">
        <x:v>Meta webhook signature validation</x:v>
      </x:c>
      <x:c r="E17" s="47" t="str">
        <x:v>Replay payload with invalid/missing signature.</x:v>
      </x:c>
      <x:c r="F17" s="47" t="str">
        <x:v>Meta webhook signature validation</x:v>
      </x:c>
      <x:c r="G17" s="47" t="str">
        <x:v>Security</x:v>
      </x:c>
      <x:c r="H17" s="53" t="str">
        <x:v>P0</x:v>
      </x:c>
      <x:c r="I17" s="53" t="str">
        <x:v>Critical</x:v>
      </x:c>
      <x:c r="J17" s="47" t="str">
        <x:v>External caller</x:v>
      </x:c>
      <x:c r="K17" s="47" t="str">
        <x:v>Use the reusable two-tenant QA data matrix and current Docker test environment.</x:v>
      </x:c>
      <x:c r="L17" s="47" t="str">
        <x:v>Agency A/B, representative role accounts, public/private records, valid/invalid tokens and deterministic timestamps.</x:v>
      </x:c>
      <x:c r="M1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7" s="47" t="str">
        <x:v>1. Reset/seed deterministic fixtures.
2. Capture initial database/API/UI state.
3. Execute: Replay payload with invalid/missing signature.
4. Inspect response, UI, database, logs and downstream modules.
5. Repeat with tenant/role/failure variation where stated.
6. Compare against the pass condition.</x:v>
      </x:c>
      <x:c r="O17" s="47" t="str">
        <x:v>Rejected before persistence or provider response.</x:v>
      </x:c>
      <x:c r="P17" s="47" t="str">
        <x:v>Only rows explicitly required by the workflow may change; tenant B and unrelated records remain identical. Verify counts, foreign keys, histories, timestamps and rollback.</x:v>
      </x:c>
      <x:c r="Q17" s="47" t="str">
        <x:v>Use actual endpoints named in the relevant feature sheet/guide. Verify 2xx success and 400/401/403/404/409/429/5xx recovery behavior as applicable.</x:v>
      </x:c>
      <x:c r="R17" s="47" t="str">
        <x:v>UI must reflect server truth after refresh, show safe errors, and expose no unauthorized data.</x:v>
      </x:c>
      <x:c r="S17" s="47" t="str">
        <x:v>Verify notifications, email, scheduler markers, audit/events and external provider calls separately.</x:v>
      </x:c>
      <x:c r="T17" s="47" t="str">
        <x:v>Authentication, tenant scoping, all protected/public modules</x:v>
      </x:c>
      <x:c r="U17" s="47" t="str">
        <x:v>Retain evidence and restore mutable provider/test fixtures.</x:v>
      </x:c>
      <x:c r="V17" s="47" t="str"/>
      <x:c r="W17" s="53" t="str">
        <x:v>Not Run</x:v>
      </x:c>
      <x:c r="X17" s="53" t="str"/>
      <x:c r="Y17" s="53" t="str">
        <x:v>Yes</x:v>
      </x:c>
      <x:c r="Z17" s="47" t="str">
        <x:v>Current implementation unless explicitly labeled Requires clarification.</x:v>
      </x:c>
    </x:row>
    <x:row r="18" ht="78" customHeight="1">
      <x:c r="A18" s="50" t="str">
        <x:v>SEC-014</x:v>
      </x:c>
      <x:c r="B18" s="47" t="str">
        <x:v>Security and Permissions</x:v>
      </x:c>
      <x:c r="C18" s="47" t="str">
        <x:v>Security and Permissions</x:v>
      </x:c>
      <x:c r="D18" s="47" t="str">
        <x:v>Stripe webhook signature validation</x:v>
      </x:c>
      <x:c r="E18" s="47" t="str">
        <x:v>Replay billing event with invalid/missing signature.</x:v>
      </x:c>
      <x:c r="F18" s="47" t="str">
        <x:v>Stripe webhook signature validation</x:v>
      </x:c>
      <x:c r="G18" s="47" t="str">
        <x:v>Security</x:v>
      </x:c>
      <x:c r="H18" s="53" t="str">
        <x:v>P0</x:v>
      </x:c>
      <x:c r="I18" s="53" t="str">
        <x:v>Critical</x:v>
      </x:c>
      <x:c r="J18" s="47" t="str">
        <x:v>External caller</x:v>
      </x:c>
      <x:c r="K18" s="47" t="str">
        <x:v>Use the reusable two-tenant QA data matrix and current Docker test environment.</x:v>
      </x:c>
      <x:c r="L18" s="47" t="str">
        <x:v>Agency A/B, representative role accounts, public/private records, valid/invalid tokens and deterministic timestamps.</x:v>
      </x:c>
      <x:c r="M1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8" s="47" t="str">
        <x:v>1. Reset/seed deterministic fixtures.
2. Capture initial database/API/UI state.
3. Execute: Replay billing event with invalid/missing signature.
4. Inspect response, UI, database, logs and downstream modules.
5. Repeat with tenant/role/failure variation where stated.
6. Compare against the pass condition.</x:v>
      </x:c>
      <x:c r="O18" s="47" t="str">
        <x:v>Rejected before entitlement/payment mutation.</x:v>
      </x:c>
      <x:c r="P18" s="47" t="str">
        <x:v>Only rows explicitly required by the workflow may change; tenant B and unrelated records remain identical. Verify counts, foreign keys, histories, timestamps and rollback.</x:v>
      </x:c>
      <x:c r="Q18" s="47" t="str">
        <x:v>Use actual endpoints named in the relevant feature sheet/guide. Verify 2xx success and 400/401/403/404/409/429/5xx recovery behavior as applicable.</x:v>
      </x:c>
      <x:c r="R18" s="47" t="str">
        <x:v>UI must reflect server truth after refresh, show safe errors, and expose no unauthorized data.</x:v>
      </x:c>
      <x:c r="S18" s="47" t="str">
        <x:v>Verify notifications, email, scheduler markers, audit/events and external provider calls separately.</x:v>
      </x:c>
      <x:c r="T18" s="47" t="str">
        <x:v>Authentication, tenant scoping, all protected/public modules</x:v>
      </x:c>
      <x:c r="U18" s="47" t="str">
        <x:v>Retain evidence and restore mutable provider/test fixtures.</x:v>
      </x:c>
      <x:c r="V18" s="47" t="str"/>
      <x:c r="W18" s="53" t="str">
        <x:v>Not Run</x:v>
      </x:c>
      <x:c r="X18" s="53" t="str"/>
      <x:c r="Y18" s="53" t="str">
        <x:v>Yes</x:v>
      </x:c>
      <x:c r="Z18" s="47" t="str">
        <x:v>Current implementation unless explicitly labeled Requires clarification.</x:v>
      </x:c>
    </x:row>
    <x:row r="19" ht="78" customHeight="1">
      <x:c r="A19" s="50" t="str">
        <x:v>SEC-015</x:v>
      </x:c>
      <x:c r="B19" s="47" t="str">
        <x:v>Security and Permissions</x:v>
      </x:c>
      <x:c r="C19" s="47" t="str">
        <x:v>Security and Permissions</x:v>
      </x:c>
      <x:c r="D19" s="47" t="str">
        <x:v>Webhook replay idempotency</x:v>
      </x:c>
      <x:c r="E19" s="47" t="str">
        <x:v>Replay identical valid Meta and Stripe events.</x:v>
      </x:c>
      <x:c r="F19" s="47" t="str">
        <x:v>Webhook replay idempotency</x:v>
      </x:c>
      <x:c r="G19" s="47" t="str">
        <x:v>Security</x:v>
      </x:c>
      <x:c r="H19" s="53" t="str">
        <x:v>P0</x:v>
      </x:c>
      <x:c r="I19" s="53" t="str">
        <x:v>Critical</x:v>
      </x:c>
      <x:c r="J19" s="47" t="str">
        <x:v>External systems</x:v>
      </x:c>
      <x:c r="K19" s="47" t="str">
        <x:v>Use the reusable two-tenant QA data matrix and current Docker test environment.</x:v>
      </x:c>
      <x:c r="L19" s="47" t="str">
        <x:v>Agency A/B, representative role accounts, public/private records, valid/invalid tokens and deterministic timestamps.</x:v>
      </x:c>
      <x:c r="M1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9" s="47" t="str">
        <x:v>1. Reset/seed deterministic fixtures.
2. Capture initial database/API/UI state.
3. Execute: Replay identical valid Meta and Stripe events.
4. Inspect response, UI, database, logs and downstream modules.
5. Repeat with tenant/role/failure variation where stated.
6. Compare against the pass condition.</x:v>
      </x:c>
      <x:c r="O19" s="47" t="str">
        <x:v>One logical message/payment effect.</x:v>
      </x:c>
      <x:c r="P19" s="47" t="str">
        <x:v>Only rows explicitly required by the workflow may change; tenant B and unrelated records remain identical. Verify counts, foreign keys, histories, timestamps and rollback.</x:v>
      </x:c>
      <x:c r="Q19" s="47" t="str">
        <x:v>Use actual endpoints named in the relevant feature sheet/guide. Verify 2xx success and 400/401/403/404/409/429/5xx recovery behavior as applicable.</x:v>
      </x:c>
      <x:c r="R19" s="47" t="str">
        <x:v>UI must reflect server truth after refresh, show safe errors, and expose no unauthorized data.</x:v>
      </x:c>
      <x:c r="S19" s="47" t="str">
        <x:v>Verify notifications, email, scheduler markers, audit/events and external provider calls separately.</x:v>
      </x:c>
      <x:c r="T19" s="47" t="str">
        <x:v>Authentication, tenant scoping, all protected/public modules</x:v>
      </x:c>
      <x:c r="U19" s="47" t="str">
        <x:v>Retain evidence and restore mutable provider/test fixtures.</x:v>
      </x:c>
      <x:c r="V19" s="47" t="str"/>
      <x:c r="W19" s="53" t="str">
        <x:v>Not Run</x:v>
      </x:c>
      <x:c r="X19" s="53" t="str"/>
      <x:c r="Y19" s="53" t="str">
        <x:v>Yes</x:v>
      </x:c>
      <x:c r="Z19" s="47" t="str">
        <x:v>Current implementation unless explicitly labeled Requires clarification.</x:v>
      </x:c>
    </x:row>
    <x:row r="20" ht="78" customHeight="1">
      <x:c r="A20" s="50" t="str">
        <x:v>SEC-016</x:v>
      </x:c>
      <x:c r="B20" s="47" t="str">
        <x:v>Security and Permissions</x:v>
      </x:c>
      <x:c r="C20" s="47" t="str">
        <x:v>Security and Permissions</x:v>
      </x:c>
      <x:c r="D20" s="47" t="str">
        <x:v>Stored and reflected XSS inputs</x:v>
      </x:c>
      <x:c r="E20" s="47" t="str">
        <x:v>Submit script/event-handler/HTML payloads in names, notes, captions, reviews and messages.</x:v>
      </x:c>
      <x:c r="F20" s="47" t="str">
        <x:v>Stored and reflected XSS inputs</x:v>
      </x:c>
      <x:c r="G20" s="47" t="str">
        <x:v>Security</x:v>
      </x:c>
      <x:c r="H20" s="53" t="str">
        <x:v>P0</x:v>
      </x:c>
      <x:c r="I20" s="53" t="str">
        <x:v>Critical</x:v>
      </x:c>
      <x:c r="J20" s="47" t="str">
        <x:v>Public/staff user</x:v>
      </x:c>
      <x:c r="K20" s="47" t="str">
        <x:v>Use the reusable two-tenant QA data matrix and current Docker test environment.</x:v>
      </x:c>
      <x:c r="L20" s="47" t="str">
        <x:v>Agency A/B, representative role accounts, public/private records, valid/invalid tokens and deterministic timestamps.</x:v>
      </x:c>
      <x:c r="M2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0" s="47" t="str">
        <x:v>1. Reset/seed deterministic fixtures.
2. Capture initial database/API/UI state.
3. Execute: Submit script/event-handler/HTML payloads in names, notes, captions, reviews and messages.
4. Inspect response, UI, database, logs and downstream modules.
5. Repeat with tenant/role/failure variation where stated.
6. Compare against the pass condition.</x:v>
      </x:c>
      <x:c r="O20" s="47" t="str">
        <x:v>Payload is validated/escaped and never executes in React/Next.js/admin views.</x:v>
      </x:c>
      <x:c r="P20" s="47" t="str">
        <x:v>Only rows explicitly required by the workflow may change; tenant B and unrelated records remain identical. Verify counts, foreign keys, histories, timestamps and rollback.</x:v>
      </x:c>
      <x:c r="Q20" s="47" t="str">
        <x:v>Use actual endpoints named in the relevant feature sheet/guide. Verify 2xx success and 400/401/403/404/409/429/5xx recovery behavior as applicable.</x:v>
      </x:c>
      <x:c r="R20" s="47" t="str">
        <x:v>UI must reflect server truth after refresh, show safe errors, and expose no unauthorized data.</x:v>
      </x:c>
      <x:c r="S20" s="47" t="str">
        <x:v>Verify notifications, email, scheduler markers, audit/events and external provider calls separately.</x:v>
      </x:c>
      <x:c r="T20" s="47" t="str">
        <x:v>Authentication, tenant scoping, all protected/public modules</x:v>
      </x:c>
      <x:c r="U20" s="47" t="str">
        <x:v>Retain evidence and restore mutable provider/test fixtures.</x:v>
      </x:c>
      <x:c r="V20" s="47" t="str"/>
      <x:c r="W20" s="53" t="str">
        <x:v>Not Run</x:v>
      </x:c>
      <x:c r="X20" s="53" t="str"/>
      <x:c r="Y20" s="53" t="str">
        <x:v>Yes</x:v>
      </x:c>
      <x:c r="Z20" s="47" t="str">
        <x:v>Current implementation unless explicitly labeled Requires clarification.</x:v>
      </x:c>
    </x:row>
    <x:row r="21" ht="78" customHeight="1">
      <x:c r="A21" s="50" t="str">
        <x:v>SEC-017</x:v>
      </x:c>
      <x:c r="B21" s="47" t="str">
        <x:v>Security and Permissions</x:v>
      </x:c>
      <x:c r="C21" s="47" t="str">
        <x:v>Security and Permissions</x:v>
      </x:c>
      <x:c r="D21" s="47" t="str">
        <x:v>SQL/meta-character input handling</x:v>
      </x:c>
      <x:c r="E21" s="47" t="str">
        <x:v>Use quotes, wildcards, Unicode and SQL-like strings in search/filter/form fields.</x:v>
      </x:c>
      <x:c r="F21" s="47" t="str">
        <x:v>SQL/meta-character input handling</x:v>
      </x:c>
      <x:c r="G21" s="47" t="str">
        <x:v>Security</x:v>
      </x:c>
      <x:c r="H21" s="53" t="str">
        <x:v>P0</x:v>
      </x:c>
      <x:c r="I21" s="53" t="str">
        <x:v>Critical</x:v>
      </x:c>
      <x:c r="J21" s="47" t="str">
        <x:v>Any caller</x:v>
      </x:c>
      <x:c r="K21" s="47" t="str">
        <x:v>Use the reusable two-tenant QA data matrix and current Docker test environment.</x:v>
      </x:c>
      <x:c r="L21" s="47" t="str">
        <x:v>Agency A/B, representative role accounts, public/private records, valid/invalid tokens and deterministic timestamps.</x:v>
      </x:c>
      <x:c r="M2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1" s="47" t="str">
        <x:v>1. Reset/seed deterministic fixtures.
2. Capture initial database/API/UI state.
3. Execute: Use quotes, wildcards, Unicode and SQL-like strings in search/filter/form fields.
4. Inspect response, UI, database, logs and downstream modules.
5. Repeat with tenant/role/failure variation where stated.
6. Compare against the pass condition.</x:v>
      </x:c>
      <x:c r="O21" s="47" t="str">
        <x:v>ORM treats values as data; no error/leak or cross-tenant result.</x:v>
      </x:c>
      <x:c r="P21" s="47" t="str">
        <x:v>Only rows explicitly required by the workflow may change; tenant B and unrelated records remain identical. Verify counts, foreign keys, histories, timestamps and rollback.</x:v>
      </x:c>
      <x:c r="Q21" s="47" t="str">
        <x:v>Use actual endpoints named in the relevant feature sheet/guide. Verify 2xx success and 400/401/403/404/409/429/5xx recovery behavior as applicable.</x:v>
      </x:c>
      <x:c r="R21" s="47" t="str">
        <x:v>UI must reflect server truth after refresh, show safe errors, and expose no unauthorized data.</x:v>
      </x:c>
      <x:c r="S21" s="47" t="str">
        <x:v>Verify notifications, email, scheduler markers, audit/events and external provider calls separately.</x:v>
      </x:c>
      <x:c r="T21" s="47" t="str">
        <x:v>Authentication, tenant scoping, all protected/public modules</x:v>
      </x:c>
      <x:c r="U21" s="47" t="str">
        <x:v>Retain evidence and restore mutable provider/test fixtures.</x:v>
      </x:c>
      <x:c r="V21" s="47" t="str"/>
      <x:c r="W21" s="53" t="str">
        <x:v>Not Run</x:v>
      </x:c>
      <x:c r="X21" s="53" t="str"/>
      <x:c r="Y21" s="53" t="str">
        <x:v>Yes</x:v>
      </x:c>
      <x:c r="Z21" s="47" t="str">
        <x:v>Current implementation unless explicitly labeled Requires clarification.</x:v>
      </x:c>
    </x:row>
    <x:row r="22" ht="78" customHeight="1">
      <x:c r="A22" s="50" t="str">
        <x:v>SEC-018</x:v>
      </x:c>
      <x:c r="B22" s="47" t="str">
        <x:v>Security and Permissions</x:v>
      </x:c>
      <x:c r="C22" s="47" t="str">
        <x:v>Security and Permissions</x:v>
      </x:c>
      <x:c r="D22" s="47" t="str">
        <x:v>Unsafe upload and content-type spoofing</x:v>
      </x:c>
      <x:c r="E22" s="47" t="str">
        <x:v>Upload executable/polyglot/oversized files as property/document images.</x:v>
      </x:c>
      <x:c r="F22" s="47" t="str">
        <x:v>Unsafe upload and content-type spoofing</x:v>
      </x:c>
      <x:c r="G22" s="47" t="str">
        <x:v>Security</x:v>
      </x:c>
      <x:c r="H22" s="53" t="str">
        <x:v>P0</x:v>
      </x:c>
      <x:c r="I22" s="53" t="str">
        <x:v>Critical</x:v>
      </x:c>
      <x:c r="J22" s="47" t="str">
        <x:v>Agency user</x:v>
      </x:c>
      <x:c r="K22" s="47" t="str">
        <x:v>Use the reusable two-tenant QA data matrix and current Docker test environment.</x:v>
      </x:c>
      <x:c r="L22" s="47" t="str">
        <x:v>Agency A/B, representative role accounts, public/private records, valid/invalid tokens and deterministic timestamps.</x:v>
      </x:c>
      <x:c r="M2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2" s="47" t="str">
        <x:v>1. Reset/seed deterministic fixtures.
2. Capture initial database/API/UI state.
3. Execute: Upload executable/polyglot/oversized files as property/document images.
4. Inspect response, UI, database, logs and downstream modules.
5. Repeat with tenant/role/failure variation where stated.
6. Compare against the pass condition.</x:v>
      </x:c>
      <x:c r="O22" s="47" t="str">
        <x:v>Rejected or never publicly executable; production malware scanning remains not determined.</x:v>
      </x:c>
      <x:c r="P22" s="47" t="str">
        <x:v>Only rows explicitly required by the workflow may change; tenant B and unrelated records remain identical. Verify counts, foreign keys, histories, timestamps and rollback.</x:v>
      </x:c>
      <x:c r="Q22" s="47" t="str">
        <x:v>Use actual endpoints named in the relevant feature sheet/guide. Verify 2xx success and 400/401/403/404/409/429/5xx recovery behavior as applicable.</x:v>
      </x:c>
      <x:c r="R22" s="47" t="str">
        <x:v>UI must reflect server truth after refresh, show safe errors, and expose no unauthorized data.</x:v>
      </x:c>
      <x:c r="S22" s="47" t="str">
        <x:v>Verify notifications, email, scheduler markers, audit/events and external provider calls separately.</x:v>
      </x:c>
      <x:c r="T22" s="47" t="str">
        <x:v>Authentication, tenant scoping, all protected/public modules</x:v>
      </x:c>
      <x:c r="U22" s="47" t="str">
        <x:v>Retain evidence and restore mutable provider/test fixtures.</x:v>
      </x:c>
      <x:c r="V22" s="47" t="str"/>
      <x:c r="W22" s="53" t="str">
        <x:v>Not Run</x:v>
      </x:c>
      <x:c r="X22" s="53" t="str"/>
      <x:c r="Y22" s="53" t="str">
        <x:v>Yes</x:v>
      </x:c>
      <x:c r="Z22" s="47" t="str">
        <x:v>Current implementation unless explicitly labeled Requires clarification.</x:v>
      </x:c>
    </x:row>
    <x:row r="23" ht="78" customHeight="1">
      <x:c r="A23" s="50" t="str">
        <x:v>SEC-019</x:v>
      </x:c>
      <x:c r="B23" s="47" t="str">
        <x:v>Security and Permissions</x:v>
      </x:c>
      <x:c r="C23" s="47" t="str">
        <x:v>Security and Permissions</x:v>
      </x:c>
      <x:c r="D23" s="47" t="str">
        <x:v>Sensitive error/log leakage</x:v>
      </x:c>
      <x:c r="E23" s="47" t="str">
        <x:v>Trigger validation, provider, DB and 500 paths and inspect responses/logs.</x:v>
      </x:c>
      <x:c r="F23" s="47" t="str">
        <x:v>Sensitive error/log leakage</x:v>
      </x:c>
      <x:c r="G23" s="47" t="str">
        <x:v>Security</x:v>
      </x:c>
      <x:c r="H23" s="53" t="str">
        <x:v>P0</x:v>
      </x:c>
      <x:c r="I23" s="53" t="str">
        <x:v>Critical</x:v>
      </x:c>
      <x:c r="J23" s="47" t="str">
        <x:v>Any caller</x:v>
      </x:c>
      <x:c r="K23" s="47" t="str">
        <x:v>Use the reusable two-tenant QA data matrix and current Docker test environment.</x:v>
      </x:c>
      <x:c r="L23" s="47" t="str">
        <x:v>Agency A/B, representative role accounts, public/private records, valid/invalid tokens and deterministic timestamps.</x:v>
      </x:c>
      <x:c r="M2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3" s="47" t="str">
        <x:v>1. Reset/seed deterministic fixtures.
2. Capture initial database/API/UI state.
3. Execute: Trigger validation, provider, DB and 500 paths and inspect responses/logs.
4. Inspect response, UI, database, logs and downstream modules.
5. Repeat with tenant/role/failure variation where stated.
6. Compare against the pass condition.</x:v>
      </x:c>
      <x:c r="O23" s="47" t="str">
        <x:v>No secrets, tokens, stack traces, passwords, signatures or private file paths reach client.</x:v>
      </x:c>
      <x:c r="P23" s="47" t="str">
        <x:v>Only rows explicitly required by the workflow may change; tenant B and unrelated records remain identical. Verify counts, foreign keys, histories, timestamps and rollback.</x:v>
      </x:c>
      <x:c r="Q23" s="47" t="str">
        <x:v>Use actual endpoints named in the relevant feature sheet/guide. Verify 2xx success and 400/401/403/404/409/429/5xx recovery behavior as applicable.</x:v>
      </x:c>
      <x:c r="R23" s="47" t="str">
        <x:v>UI must reflect server truth after refresh, show safe errors, and expose no unauthorized data.</x:v>
      </x:c>
      <x:c r="S23" s="47" t="str">
        <x:v>Verify notifications, email, scheduler markers, audit/events and external provider calls separately.</x:v>
      </x:c>
      <x:c r="T23" s="47" t="str">
        <x:v>Authentication, tenant scoping, all protected/public modules</x:v>
      </x:c>
      <x:c r="U23" s="47" t="str">
        <x:v>Retain evidence and restore mutable provider/test fixtures.</x:v>
      </x:c>
      <x:c r="V23" s="47" t="str"/>
      <x:c r="W23" s="53" t="str">
        <x:v>Not Run</x:v>
      </x:c>
      <x:c r="X23" s="53" t="str"/>
      <x:c r="Y23" s="53" t="str">
        <x:v>Yes</x:v>
      </x:c>
      <x:c r="Z23" s="47" t="str">
        <x:v>Current implementation unless explicitly labeled Requires clarification.</x:v>
      </x:c>
    </x:row>
    <x:row r="24" ht="78" customHeight="1">
      <x:c r="A24" s="50" t="str">
        <x:v>SEC-020</x:v>
      </x:c>
      <x:c r="B24" s="47" t="str">
        <x:v>Security and Permissions</x:v>
      </x:c>
      <x:c r="C24" s="47" t="str">
        <x:v>Security and Permissions</x:v>
      </x:c>
      <x:c r="D24" s="47" t="str">
        <x:v>Password reset enumeration and token reuse</x:v>
      </x:c>
      <x:c r="E24" s="47" t="str">
        <x:v>Compare known/unknown email and reuse successful token.</x:v>
      </x:c>
      <x:c r="F24" s="47" t="str">
        <x:v>Password reset enumeration and token reuse</x:v>
      </x:c>
      <x:c r="G24" s="47" t="str">
        <x:v>Security</x:v>
      </x:c>
      <x:c r="H24" s="53" t="str">
        <x:v>P0</x:v>
      </x:c>
      <x:c r="I24" s="53" t="str">
        <x:v>Critical</x:v>
      </x:c>
      <x:c r="J24" s="47" t="str">
        <x:v>Anonymous</x:v>
      </x:c>
      <x:c r="K24" s="47" t="str">
        <x:v>Use the reusable two-tenant QA data matrix and current Docker test environment.</x:v>
      </x:c>
      <x:c r="L24" s="47" t="str">
        <x:v>Agency A/B, representative role accounts, public/private records, valid/invalid tokens and deterministic timestamps.</x:v>
      </x:c>
      <x:c r="M2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4" s="47" t="str">
        <x:v>1. Reset/seed deterministic fixtures.
2. Capture initial database/API/UI state.
3. Execute: Compare known/unknown email and reuse successful token.
4. Inspect response, UI, database, logs and downstream modules.
5. Repeat with tenant/role/failure variation where stated.
6. Compare against the pass condition.</x:v>
      </x:c>
      <x:c r="O24" s="47" t="str">
        <x:v>Indistinguishable request response; token single use.</x:v>
      </x:c>
      <x:c r="P24" s="47" t="str">
        <x:v>Only rows explicitly required by the workflow may change; tenant B and unrelated records remain identical. Verify counts, foreign keys, histories, timestamps and rollback.</x:v>
      </x:c>
      <x:c r="Q24" s="47" t="str">
        <x:v>Use actual endpoints named in the relevant feature sheet/guide. Verify 2xx success and 400/401/403/404/409/429/5xx recovery behavior as applicable.</x:v>
      </x:c>
      <x:c r="R24" s="47" t="str">
        <x:v>UI must reflect server truth after refresh, show safe errors, and expose no unauthorized data.</x:v>
      </x:c>
      <x:c r="S24" s="47" t="str">
        <x:v>Verify notifications, email, scheduler markers, audit/events and external provider calls separately.</x:v>
      </x:c>
      <x:c r="T24" s="47" t="str">
        <x:v>Authentication, tenant scoping, all protected/public modules</x:v>
      </x:c>
      <x:c r="U24" s="47" t="str">
        <x:v>Retain evidence and restore mutable provider/test fixtures.</x:v>
      </x:c>
      <x:c r="V24" s="47" t="str"/>
      <x:c r="W24" s="53" t="str">
        <x:v>Not Run</x:v>
      </x:c>
      <x:c r="X24" s="53" t="str"/>
      <x:c r="Y24" s="53" t="str">
        <x:v>Yes</x:v>
      </x:c>
      <x:c r="Z24" s="47" t="str">
        <x:v>Current implementation unless explicitly labeled Requires clarification.</x:v>
      </x:c>
    </x:row>
    <x:row r="25" ht="78" customHeight="1">
      <x:c r="A25" s="50" t="str">
        <x:v>SEC-021</x:v>
      </x:c>
      <x:c r="B25" s="47" t="str">
        <x:v>Security and Permissions</x:v>
      </x:c>
      <x:c r="C25" s="47" t="str">
        <x:v>Security and Permissions</x:v>
      </x:c>
      <x:c r="D25" s="47" t="str">
        <x:v>Login/OTP/public form throttling</x:v>
      </x:c>
      <x:c r="E25" s="47" t="str">
        <x:v>Burst login, resend OTP, contact/inquiry/submission calls.</x:v>
      </x:c>
      <x:c r="F25" s="47" t="str">
        <x:v>Login/OTP/public form throttling</x:v>
      </x:c>
      <x:c r="G25" s="47" t="str">
        <x:v>Security</x:v>
      </x:c>
      <x:c r="H25" s="53" t="str">
        <x:v>P0</x:v>
      </x:c>
      <x:c r="I25" s="53" t="str">
        <x:v>Critical</x:v>
      </x:c>
      <x:c r="J25" s="47" t="str">
        <x:v>Anonymous</x:v>
      </x:c>
      <x:c r="K25" s="47" t="str">
        <x:v>Use the reusable two-tenant QA data matrix and current Docker test environment.</x:v>
      </x:c>
      <x:c r="L25" s="47" t="str">
        <x:v>Agency A/B, representative role accounts, public/private records, valid/invalid tokens and deterministic timestamps.</x:v>
      </x:c>
      <x:c r="M2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5" s="47" t="str">
        <x:v>1. Reset/seed deterministic fixtures.
2. Capture initial database/API/UI state.
3. Execute: Burst login, resend OTP, contact/inquiry/submission calls.
4. Inspect response, UI, database, logs and downstream modules.
5. Repeat with tenant/role/failure variation where stated.
6. Compare against the pass condition.</x:v>
      </x:c>
      <x:c r="O25" s="47" t="str">
        <x:v>Configured throttles limit abuse without affecting tenant data.</x:v>
      </x:c>
      <x:c r="P25" s="47" t="str">
        <x:v>Only rows explicitly required by the workflow may change; tenant B and unrelated records remain identical. Verify counts, foreign keys, histories, timestamps and rollback.</x:v>
      </x:c>
      <x:c r="Q25" s="47" t="str">
        <x:v>Use actual endpoints named in the relevant feature sheet/guide. Verify 2xx success and 400/401/403/404/409/429/5xx recovery behavior as applicable.</x:v>
      </x:c>
      <x:c r="R25" s="47" t="str">
        <x:v>UI must reflect server truth after refresh, show safe errors, and expose no unauthorized data.</x:v>
      </x:c>
      <x:c r="S25" s="47" t="str">
        <x:v>Verify notifications, email, scheduler markers, audit/events and external provider calls separately.</x:v>
      </x:c>
      <x:c r="T25" s="47" t="str">
        <x:v>Authentication, tenant scoping, all protected/public modules</x:v>
      </x:c>
      <x:c r="U25" s="47" t="str">
        <x:v>Retain evidence and restore mutable provider/test fixtures.</x:v>
      </x:c>
      <x:c r="V25" s="47" t="str"/>
      <x:c r="W25" s="53" t="str">
        <x:v>Not Run</x:v>
      </x:c>
      <x:c r="X25" s="53" t="str"/>
      <x:c r="Y25" s="53" t="str">
        <x:v>Yes</x:v>
      </x:c>
      <x:c r="Z25" s="47" t="str">
        <x:v>Current implementation unless explicitly labeled Requires clarification.</x:v>
      </x:c>
    </x:row>
    <x:row r="26" ht="78" customHeight="1">
      <x:c r="A26" s="50" t="str">
        <x:v>SEC-022</x:v>
      </x:c>
      <x:c r="B26" s="47" t="str">
        <x:v>Security and Permissions</x:v>
      </x:c>
      <x:c r="C26" s="47" t="str">
        <x:v>Security and Permissions</x:v>
      </x:c>
      <x:c r="D26" s="47" t="str">
        <x:v>CORS/CSRF and method restrictions</x:v>
      </x:c>
      <x:c r="E26" s="47" t="str">
        <x:v>Send disallowed methods/origins and form-encoded mutations.</x:v>
      </x:c>
      <x:c r="F26" s="47" t="str">
        <x:v>CORS/CSRF and method restrictions</x:v>
      </x:c>
      <x:c r="G26" s="47" t="str">
        <x:v>Security</x:v>
      </x:c>
      <x:c r="H26" s="53" t="str">
        <x:v>P0</x:v>
      </x:c>
      <x:c r="I26" s="53" t="str">
        <x:v>Critical</x:v>
      </x:c>
      <x:c r="J26" s="47" t="str">
        <x:v>External origin</x:v>
      </x:c>
      <x:c r="K26" s="47" t="str">
        <x:v>Use the reusable two-tenant QA data matrix and current Docker test environment.</x:v>
      </x:c>
      <x:c r="L26" s="47" t="str">
        <x:v>Agency A/B, representative role accounts, public/private records, valid/invalid tokens and deterministic timestamps.</x:v>
      </x:c>
      <x:c r="M2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6" s="47" t="str">
        <x:v>1. Reset/seed deterministic fixtures.
2. Capture initial database/API/UI state.
3. Execute: Send disallowed methods/origins and form-encoded mutations.
4. Inspect response, UI, database, logs and downstream modules.
5. Repeat with tenant/role/failure variation where stated.
6. Compare against the pass condition.</x:v>
      </x:c>
      <x:c r="O26" s="47" t="str">
        <x:v>Only documented methods/auth paths succeed; no accidental state change.</x:v>
      </x:c>
      <x:c r="P26" s="47" t="str">
        <x:v>Only rows explicitly required by the workflow may change; tenant B and unrelated records remain identical. Verify counts, foreign keys, histories, timestamps and rollback.</x:v>
      </x:c>
      <x:c r="Q26" s="47" t="str">
        <x:v>Use actual endpoints named in the relevant feature sheet/guide. Verify 2xx success and 400/401/403/404/409/429/5xx recovery behavior as applicable.</x:v>
      </x:c>
      <x:c r="R26" s="47" t="str">
        <x:v>UI must reflect server truth after refresh, show safe errors, and expose no unauthorized data.</x:v>
      </x:c>
      <x:c r="S26" s="47" t="str">
        <x:v>Verify notifications, email, scheduler markers, audit/events and external provider calls separately.</x:v>
      </x:c>
      <x:c r="T26" s="47" t="str">
        <x:v>Authentication, tenant scoping, all protected/public modules</x:v>
      </x:c>
      <x:c r="U26" s="47" t="str">
        <x:v>Retain evidence and restore mutable provider/test fixtures.</x:v>
      </x:c>
      <x:c r="V26" s="47" t="str"/>
      <x:c r="W26" s="53" t="str">
        <x:v>Not Run</x:v>
      </x:c>
      <x:c r="X26" s="53" t="str"/>
      <x:c r="Y26" s="53" t="str">
        <x:v>Yes</x:v>
      </x:c>
      <x:c r="Z26" s="47" t="str">
        <x:v>Current implementation unless explicitly labeled Requires clarification.</x:v>
      </x:c>
    </x:row>
    <x:row r="27" ht="78" customHeight="1">
      <x:c r="A27" s="50" t="str">
        <x:v>SEC-023</x:v>
      </x:c>
      <x:c r="B27" s="47" t="str">
        <x:v>Security and Permissions</x:v>
      </x:c>
      <x:c r="C27" s="47" t="str">
        <x:v>Security and Permissions</x:v>
      </x:c>
      <x:c r="D27" s="47" t="str">
        <x:v>Local-storage token exposure review</x:v>
      </x:c>
      <x:c r="E27" s="47" t="str">
        <x:v>Inspect staff/customer persisted tokens, logout, XSS surface and shared-device behavior.</x:v>
      </x:c>
      <x:c r="F27" s="47" t="str">
        <x:v>Local-storage token exposure review</x:v>
      </x:c>
      <x:c r="G27" s="47" t="str">
        <x:v>Security</x:v>
      </x:c>
      <x:c r="H27" s="53" t="str">
        <x:v>P0</x:v>
      </x:c>
      <x:c r="I27" s="53" t="str">
        <x:v>Critical</x:v>
      </x:c>
      <x:c r="J27" s="47" t="str">
        <x:v>Browser user</x:v>
      </x:c>
      <x:c r="K27" s="47" t="str">
        <x:v>Use the reusable two-tenant QA data matrix and current Docker test environment.</x:v>
      </x:c>
      <x:c r="L27" s="47" t="str">
        <x:v>Agency A/B, representative role accounts, public/private records, valid/invalid tokens and deterministic timestamps.</x:v>
      </x:c>
      <x:c r="M2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7" s="47" t="str">
        <x:v>1. Reset/seed deterministic fixtures.
2. Capture initial database/API/UI state.
3. Execute: Inspect staff/customer persisted tokens, logout, XSS surface and shared-device behavior.
4. Inspect response, UI, database, logs and downstream modules.
5. Repeat with tenant/role/failure variation where stated.
6. Compare against the pass condition.</x:v>
      </x:c>
      <x:c r="O27" s="47" t="str">
        <x:v>Logout clears staff auth; customer long-lived token risk is documented; no token appears in URL/logs.</x:v>
      </x:c>
      <x:c r="P27" s="47" t="str">
        <x:v>Only rows explicitly required by the workflow may change; tenant B and unrelated records remain identical. Verify counts, foreign keys, histories, timestamps and rollback.</x:v>
      </x:c>
      <x:c r="Q27" s="47" t="str">
        <x:v>Use actual endpoints named in the relevant feature sheet/guide. Verify 2xx success and 400/401/403/404/409/429/5xx recovery behavior as applicable.</x:v>
      </x:c>
      <x:c r="R27" s="47" t="str">
        <x:v>UI must reflect server truth after refresh, show safe errors, and expose no unauthorized data.</x:v>
      </x:c>
      <x:c r="S27" s="47" t="str">
        <x:v>Verify notifications, email, scheduler markers, audit/events and external provider calls separately.</x:v>
      </x:c>
      <x:c r="T27" s="47" t="str">
        <x:v>Authentication, tenant scoping, all protected/public modules</x:v>
      </x:c>
      <x:c r="U27" s="47" t="str">
        <x:v>Retain evidence and restore mutable provider/test fixtures.</x:v>
      </x:c>
      <x:c r="V27" s="47" t="str"/>
      <x:c r="W27" s="53" t="str">
        <x:v>Not Run</x:v>
      </x:c>
      <x:c r="X27" s="53" t="str"/>
      <x:c r="Y27" s="53" t="str">
        <x:v>Yes</x:v>
      </x:c>
      <x:c r="Z27" s="47" t="str">
        <x:v>Current implementation unless explicitly labeled Requires clarification.</x:v>
      </x:c>
    </x:row>
    <x:row r="28" ht="78" customHeight="1">
      <x:c r="A28" s="51" t="str">
        <x:v>SEC-024</x:v>
      </x:c>
      <x:c r="B28" s="48" t="str">
        <x:v>Security and Permissions</x:v>
      </x:c>
      <x:c r="C28" s="48" t="str">
        <x:v>Security and Permissions</x:v>
      </x:c>
      <x:c r="D28" s="48" t="str">
        <x:v>Public facet and analytics privacy</x:v>
      </x:c>
      <x:c r="E28" s="48" t="str">
        <x:v>Infer hidden stock/users via filter options, event errors, agent lists and counts.</x:v>
      </x:c>
      <x:c r="F28" s="48" t="str">
        <x:v>Public facet and analytics privacy</x:v>
      </x:c>
      <x:c r="G28" s="48" t="str">
        <x:v>Security</x:v>
      </x:c>
      <x:c r="H28" s="54" t="str">
        <x:v>P0</x:v>
      </x:c>
      <x:c r="I28" s="54" t="str">
        <x:v>Critical</x:v>
      </x:c>
      <x:c r="J28" s="48" t="str">
        <x:v>Anonymous</x:v>
      </x:c>
      <x:c r="K28" s="48" t="str">
        <x:v>Use the reusable two-tenant QA data matrix and current Docker test environment.</x:v>
      </x:c>
      <x:c r="L28" s="48" t="str">
        <x:v>Agency A/B, representative role accounts, public/private records, valid/invalid tokens and deterministic timestamps.</x:v>
      </x:c>
      <x:c r="M28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28" s="48" t="str">
        <x:v>1. Reset/seed deterministic fixtures.
2. Capture initial database/API/UI state.
3. Execute: Infer hidden stock/users via filter options, event errors, agent lists and counts.
4. Inspect response, UI, database, logs and downstream modules.
5. Repeat with tenant/role/failure variation where stated.
6. Compare against the pass condition.</x:v>
      </x:c>
      <x:c r="O28" s="48" t="str">
        <x:v>Only eligible public data contributes to facets/counts; inactive users hidden.</x:v>
      </x:c>
      <x:c r="P28" s="48" t="str">
        <x:v>Only rows explicitly required by the workflow may change; tenant B and unrelated records remain identical. Verify counts, foreign keys, histories, timestamps and rollback.</x:v>
      </x:c>
      <x:c r="Q28" s="48" t="str">
        <x:v>Use actual endpoints named in the relevant feature sheet/guide. Verify 2xx success and 400/401/403/404/409/429/5xx recovery behavior as applicable.</x:v>
      </x:c>
      <x:c r="R28" s="48" t="str">
        <x:v>UI must reflect server truth after refresh, show safe errors, and expose no unauthorized data.</x:v>
      </x:c>
      <x:c r="S28" s="48" t="str">
        <x:v>Verify notifications, email, scheduler markers, audit/events and external provider calls separately.</x:v>
      </x:c>
      <x:c r="T28" s="48" t="str">
        <x:v>Authentication, tenant scoping, all protected/public modules</x:v>
      </x:c>
      <x:c r="U28" s="48" t="str">
        <x:v>Retain evidence and restore mutable provider/test fixtures.</x:v>
      </x:c>
      <x:c r="V28" s="48" t="str"/>
      <x:c r="W28" s="54" t="str">
        <x:v>Not Run</x:v>
      </x:c>
      <x:c r="X28" s="54" t="str"/>
      <x:c r="Y28" s="54" t="str">
        <x:v>Yes</x:v>
      </x:c>
      <x:c r="Z28" s="48" t="str">
        <x:v>Current implementation unless explicitly labeled Requires clarification.</x:v>
      </x:c>
    </x:row>
  </x:sheetData>
  <x:mergeCells>
    <x:mergeCell ref="A1:Z1"/>
    <x:mergeCell ref="A2:Z2"/>
  </x:mergeCells>
  <x:conditionalFormatting sqref="H5:H28">
    <x:cfRule type="expression" dxfId="216" priority="1">
      <x:formula>H5="P0"</x:formula>
    </x:cfRule>
    <x:cfRule type="expression" dxfId="217" priority="2">
      <x:formula>H5="P1"</x:formula>
    </x:cfRule>
    <x:cfRule type="expression" dxfId="218" priority="3">
      <x:formula>H5="P2"</x:formula>
    </x:cfRule>
    <x:cfRule type="expression" dxfId="219" priority="4">
      <x:formula>H5="P3"</x:formula>
    </x:cfRule>
  </x:conditionalFormatting>
  <x:conditionalFormatting sqref="W5:W28">
    <x:cfRule type="expression" dxfId="220" priority="5">
      <x:formula>W5="Passed"</x:formula>
    </x:cfRule>
    <x:cfRule type="expression" dxfId="221" priority="6">
      <x:formula>W5="Failed"</x:formula>
    </x:cfRule>
    <x:cfRule type="expression" dxfId="222" priority="7">
      <x:formula>W5="Blocked"</x:formula>
    </x:cfRule>
    <x:cfRule type="expression" dxfId="223" priority="8">
      <x:formula>W5="Skipped"</x:formula>
    </x:cfRule>
  </x:conditionalFormatting>
  <x:dataValidations count="4">
    <x:dataValidation type="list" sqref="H5:H28">
      <x:formula1>"P0,P1,P2,P3"</x:formula1>
    </x:dataValidation>
    <x:dataValidation type="list" sqref="I5:I28">
      <x:formula1>"Critical,High,Medium,Low"</x:formula1>
    </x:dataValidation>
    <x:dataValidation type="list" sqref="W5:W28">
      <x:formula1>"Not Run,Passed,Failed,Blocked,Skipped"</x:formula1>
    </x:dataValidation>
    <x:dataValidation type="list" sqref="Y5:Y28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3b7a60c6d142b1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End-to-End Journeys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12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E2E-001</x:v>
      </x:c>
      <x:c r="B5" s="46" t="str">
        <x:v>End-to-End Journeys</x:v>
      </x:c>
      <x:c r="C5" s="46" t="str">
        <x:v>End-to-End Journeys</x:v>
      </x:c>
      <x:c r="D5" s="46" t="str">
        <x:v>Agency onboarding to first public listing</x:v>
      </x:c>
      <x:c r="E5" s="46" t="str">
        <x:v>Register owner -&gt; satisfy SaaS entitlement -&gt; configure Nepal settings/site -&gt; create property/media -&gt; verify/freshen -&gt; publish -&gt; public browse</x:v>
      </x:c>
      <x:c r="F5" s="46" t="str">
        <x:v>Agency onboarding to first public listing</x:v>
      </x:c>
      <x:c r="G5" s="46" t="str">
        <x:v>End-to-End</x:v>
      </x:c>
      <x:c r="H5" s="52" t="str">
        <x:v>P0</x:v>
      </x:c>
      <x:c r="I5" s="52" t="str">
        <x:v>Critical</x:v>
      </x:c>
      <x:c r="J5" s="46" t="str">
        <x:v>All roles in journey</x:v>
      </x:c>
      <x:c r="K5" s="46" t="str">
        <x:v>Use the reusable two-tenant QA data matrix and current Docker test environment.</x:v>
      </x:c>
      <x:c r="L5" s="46" t="str">
        <x:v>Agency A/B, representative role accounts, public/private records, valid/invalid tokens and deterministic timestamps.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Reset/seed deterministic fixtures.
2. Capture initial database/API/UI state.
3. Execute: Register owner -&gt; satisfy SaaS entitlement -&gt; configure Nepal settings/site -&gt; create property/media -&gt; verify/freshen -&gt; publish -&gt; public browse
4. Inspect response, UI, database, logs and downstream modules.
5. Repeat with tenant/role/failure variation where stated.
6. Compare against the pass condition.</x:v>
      </x:c>
      <x:c r="O5" s="46" t="str">
        <x:v>Agency and property are publicly available only after all gates; no property payment occurs.</x:v>
      </x:c>
      <x:c r="P5" s="46" t="str">
        <x:v>Only rows explicitly required by the workflow may change; tenant B and unrelated records remain identical. Verify counts, foreign keys, histories, timestamps and rollback.</x:v>
      </x:c>
      <x:c r="Q5" s="46" t="str">
        <x:v>Use actual endpoints named in the relevant feature sheet/guide. Verify 2xx success and 400/401/403/404/409/429/5xx recovery behavior as applicable.</x:v>
      </x:c>
      <x:c r="R5" s="46" t="str">
        <x:v>UI must reflect server truth after refresh, show safe errors, and expose no unauthorized data.</x:v>
      </x:c>
      <x:c r="S5" s="46" t="str">
        <x:v>Verify notifications, email, scheduler markers, audit/events and external provider calls separately.</x:v>
      </x:c>
      <x:c r="T5" s="46" t="str">
        <x:v>Cross-feature product flow</x:v>
      </x:c>
      <x:c r="U5" s="46" t="str">
        <x:v>Retain evidence and restore mutable provider/test fixtures.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 unless explicitly labeled Requires clarification.</x:v>
      </x:c>
    </x:row>
    <x:row r="6" ht="78" customHeight="1">
      <x:c r="A6" s="50" t="str">
        <x:v>E2E-002</x:v>
      </x:c>
      <x:c r="B6" s="47" t="str">
        <x:v>End-to-End Journeys</x:v>
      </x:c>
      <x:c r="C6" s="47" t="str">
        <x:v>End-to-End Journeys</x:v>
      </x:c>
      <x:c r="D6" s="47" t="str">
        <x:v>Buyer inquiry to assigned lead</x:v>
      </x:c>
      <x:c r="E6" s="47" t="str">
        <x:v>Public listing -&gt; tracked inquiry -&gt; lead dedup -&gt; property interest -&gt; rule assignment -&gt; notification -&gt; workspace</x:v>
      </x:c>
      <x:c r="F6" s="47" t="str">
        <x:v>Buyer inquiry to assigned lead</x:v>
      </x:c>
      <x:c r="G6" s="47" t="str">
        <x:v>End-to-End</x:v>
      </x:c>
      <x:c r="H6" s="53" t="str">
        <x:v>P0</x:v>
      </x:c>
      <x:c r="I6" s="53" t="str">
        <x:v>Critical</x:v>
      </x:c>
      <x:c r="J6" s="47" t="str">
        <x:v>All roles in journey</x:v>
      </x:c>
      <x:c r="K6" s="47" t="str">
        <x:v>Use the reusable two-tenant QA data matrix and current Docker test environment.</x:v>
      </x:c>
      <x:c r="L6" s="47" t="str">
        <x:v>Agency A/B, representative role accounts, public/private records, valid/invalid tokens and deterministic timestamps.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Reset/seed deterministic fixtures.
2. Capture initial database/API/UI state.
3. Execute: Public listing -&gt; tracked inquiry -&gt; lead dedup -&gt; property interest -&gt; rule assignment -&gt; notification -&gt; workspace
4. Inspect response, UI, database, logs and downstream modules.
5. Repeat with tenant/role/failure variation where stated.
6. Compare against the pass condition.</x:v>
      </x:c>
      <x:c r="O6" s="47" t="str">
        <x:v>One lead/interest, correct attribution/assignment/SLA and visible workspace timeline.</x:v>
      </x:c>
      <x:c r="P6" s="47" t="str">
        <x:v>Only rows explicitly required by the workflow may change; tenant B and unrelated records remain identical. Verify counts, foreign keys, histories, timestamps and rollback.</x:v>
      </x:c>
      <x:c r="Q6" s="47" t="str">
        <x:v>Use actual endpoints named in the relevant feature sheet/guide. Verify 2xx success and 400/401/403/404/409/429/5xx recovery behavior as applicable.</x:v>
      </x:c>
      <x:c r="R6" s="47" t="str">
        <x:v>UI must reflect server truth after refresh, show safe errors, and expose no unauthorized data.</x:v>
      </x:c>
      <x:c r="S6" s="47" t="str">
        <x:v>Verify notifications, email, scheduler markers, audit/events and external provider calls separately.</x:v>
      </x:c>
      <x:c r="T6" s="47" t="str">
        <x:v>Cross-feature product flow</x:v>
      </x:c>
      <x:c r="U6" s="47" t="str">
        <x:v>Retain evidence and restore mutable provider/test fixtures.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 unless explicitly labeled Requires clarification.</x:v>
      </x:c>
    </x:row>
    <x:row r="7" ht="78" customHeight="1">
      <x:c r="A7" s="50" t="str">
        <x:v>E2E-003</x:v>
      </x:c>
      <x:c r="B7" s="47" t="str">
        <x:v>End-to-End Journeys</x:v>
      </x:c>
      <x:c r="C7" s="47" t="str">
        <x:v>End-to-End Journeys</x:v>
      </x:c>
      <x:c r="D7" s="47" t="str">
        <x:v>Site visit to qualified opportunity</x:v>
      </x:c>
      <x:c r="E7" s="47" t="str">
        <x:v>Public visit request -&gt; lead reuse -&gt; scheduled reminder -&gt; completion -&gt; lead history -&gt; deal creation</x:v>
      </x:c>
      <x:c r="F7" s="47" t="str">
        <x:v>Site visit to qualified opportunity</x:v>
      </x:c>
      <x:c r="G7" s="47" t="str">
        <x:v>End-to-End</x:v>
      </x:c>
      <x:c r="H7" s="53" t="str">
        <x:v>P0</x:v>
      </x:c>
      <x:c r="I7" s="53" t="str">
        <x:v>Critical</x:v>
      </x:c>
      <x:c r="J7" s="47" t="str">
        <x:v>All roles in journey</x:v>
      </x:c>
      <x:c r="K7" s="47" t="str">
        <x:v>Use the reusable two-tenant QA data matrix and current Docker test environment.</x:v>
      </x:c>
      <x:c r="L7" s="47" t="str">
        <x:v>Agency A/B, representative role accounts, public/private records, valid/invalid tokens and deterministic timestamps.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Reset/seed deterministic fixtures.
2. Capture initial database/API/UI state.
3. Execute: Public visit request -&gt; lead reuse -&gt; scheduled reminder -&gt; completion -&gt; lead history -&gt; deal creation
4. Inspect response, UI, database, logs and downstream modules.
5. Repeat with tenant/role/failure variation where stated.
6. Compare against the pass condition.</x:v>
      </x:c>
      <x:c r="O7" s="47" t="str">
        <x:v>Visit and lead state synchronize; notification/reminder and deal linkage are tenant-correct.</x:v>
      </x:c>
      <x:c r="P7" s="47" t="str">
        <x:v>Only rows explicitly required by the workflow may change; tenant B and unrelated records remain identical. Verify counts, foreign keys, histories, timestamps and rollback.</x:v>
      </x:c>
      <x:c r="Q7" s="47" t="str">
        <x:v>Use actual endpoints named in the relevant feature sheet/guide. Verify 2xx success and 400/401/403/404/409/429/5xx recovery behavior as applicable.</x:v>
      </x:c>
      <x:c r="R7" s="47" t="str">
        <x:v>UI must reflect server truth after refresh, show safe errors, and expose no unauthorized data.</x:v>
      </x:c>
      <x:c r="S7" s="47" t="str">
        <x:v>Verify notifications, email, scheduler markers, audit/events and external provider calls separately.</x:v>
      </x:c>
      <x:c r="T7" s="47" t="str">
        <x:v>Cross-feature product flow</x:v>
      </x:c>
      <x:c r="U7" s="47" t="str">
        <x:v>Retain evidence and restore mutable provider/test fixtures.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 unless explicitly labeled Requires clarification.</x:v>
      </x:c>
    </x:row>
    <x:row r="8" ht="78" customHeight="1">
      <x:c r="A8" s="50" t="str">
        <x:v>E2E-004</x:v>
      </x:c>
      <x:c r="B8" s="47" t="str">
        <x:v>End-to-End Journeys</x:v>
      </x:c>
      <x:c r="C8" s="47" t="str">
        <x:v>End-to-End Journeys</x:v>
      </x:c>
      <x:c r="D8" s="47" t="str">
        <x:v>Meta message to CRM follow-up</x:v>
      </x:c>
      <x:c r="E8" s="47" t="str">
        <x:v>Signed Facebook/Instagram webhook -&gt; conversation -&gt; claim -&gt; create/link lead -&gt; reply -&gt; follow-up</x:v>
      </x:c>
      <x:c r="F8" s="47" t="str">
        <x:v>Meta message to CRM follow-up</x:v>
      </x:c>
      <x:c r="G8" s="47" t="str">
        <x:v>End-to-End</x:v>
      </x:c>
      <x:c r="H8" s="53" t="str">
        <x:v>P0</x:v>
      </x:c>
      <x:c r="I8" s="53" t="str">
        <x:v>Critical</x:v>
      </x:c>
      <x:c r="J8" s="47" t="str">
        <x:v>All roles in journey</x:v>
      </x:c>
      <x:c r="K8" s="47" t="str">
        <x:v>Use the reusable two-tenant QA data matrix and current Docker test environment.</x:v>
      </x:c>
      <x:c r="L8" s="47" t="str">
        <x:v>Agency A/B, representative role accounts, public/private records, valid/invalid tokens and deterministic timestamps.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Reset/seed deterministic fixtures.
2. Capture initial database/API/UI state.
3. Execute: Signed Facebook/Instagram webhook -&gt; conversation -&gt; claim -&gt; create/link lead -&gt; reply -&gt; follow-up
4. Inspect response, UI, database, logs and downstream modules.
5. Repeat with tenant/role/failure variation where stated.
6. Compare against the pass condition.</x:v>
      </x:c>
      <x:c r="O8" s="47" t="str">
        <x:v>One inbound message, correct conversation/lead linkage and provider delivery state.</x:v>
      </x:c>
      <x:c r="P8" s="47" t="str">
        <x:v>Only rows explicitly required by the workflow may change; tenant B and unrelated records remain identical. Verify counts, foreign keys, histories, timestamps and rollback.</x:v>
      </x:c>
      <x:c r="Q8" s="47" t="str">
        <x:v>Use actual endpoints named in the relevant feature sheet/guide. Verify 2xx success and 400/401/403/404/409/429/5xx recovery behavior as applicable.</x:v>
      </x:c>
      <x:c r="R8" s="47" t="str">
        <x:v>UI must reflect server truth after refresh, show safe errors, and expose no unauthorized data.</x:v>
      </x:c>
      <x:c r="S8" s="47" t="str">
        <x:v>Verify notifications, email, scheduler markers, audit/events and external provider calls separately.</x:v>
      </x:c>
      <x:c r="T8" s="47" t="str">
        <x:v>Cross-feature product flow</x:v>
      </x:c>
      <x:c r="U8" s="47" t="str">
        <x:v>Retain evidence and restore mutable provider/test fixtures.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 unless explicitly labeled Requires clarification.</x:v>
      </x:c>
    </x:row>
    <x:row r="9" ht="78" customHeight="1">
      <x:c r="A9" s="50" t="str">
        <x:v>E2E-005</x:v>
      </x:c>
      <x:c r="B9" s="47" t="str">
        <x:v>End-to-End Journeys</x:v>
      </x:c>
      <x:c r="C9" s="47" t="str">
        <x:v>End-to-End Journeys</x:v>
      </x:c>
      <x:c r="D9" s="47" t="str">
        <x:v>Listing expiry and approved republish</x:v>
      </x:c>
      <x:c r="E9" s="47" t="str">
        <x:v>Publish -&gt; confirm -&gt; reminder -&gt; expire/hide -&gt; agent request -&gt; manager approve -&gt; public restore</x:v>
      </x:c>
      <x:c r="F9" s="47" t="str">
        <x:v>Listing expiry and approved republish</x:v>
      </x:c>
      <x:c r="G9" s="47" t="str">
        <x:v>End-to-End</x:v>
      </x:c>
      <x:c r="H9" s="53" t="str">
        <x:v>P0</x:v>
      </x:c>
      <x:c r="I9" s="53" t="str">
        <x:v>Critical</x:v>
      </x:c>
      <x:c r="J9" s="47" t="str">
        <x:v>All roles in journey</x:v>
      </x:c>
      <x:c r="K9" s="47" t="str">
        <x:v>Use the reusable two-tenant QA data matrix and current Docker test environment.</x:v>
      </x:c>
      <x:c r="L9" s="47" t="str">
        <x:v>Agency A/B, representative role accounts, public/private records, valid/invalid tokens and deterministic timestamps.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Reset/seed deterministic fixtures.
2. Capture initial database/API/UI state.
3. Execute: Publish -&gt; confirm -&gt; reminder -&gt; expire/hide -&gt; agent request -&gt; manager approve -&gt; public restore
4. Inspect response, UI, database, logs and downstream modules.
5. Repeat with tenant/role/failure variation where stated.
6. Compare against the pass condition.</x:v>
      </x:c>
      <x:c r="O9" s="47" t="str">
        <x:v>Public visibility is removed/restored exactly at correct stages with history.</x:v>
      </x:c>
      <x:c r="P9" s="47" t="str">
        <x:v>Only rows explicitly required by the workflow may change; tenant B and unrelated records remain identical. Verify counts, foreign keys, histories, timestamps and rollback.</x:v>
      </x:c>
      <x:c r="Q9" s="47" t="str">
        <x:v>Use actual endpoints named in the relevant feature sheet/guide. Verify 2xx success and 400/401/403/404/409/429/5xx recovery behavior as applicable.</x:v>
      </x:c>
      <x:c r="R9" s="47" t="str">
        <x:v>UI must reflect server truth after refresh, show safe errors, and expose no unauthorized data.</x:v>
      </x:c>
      <x:c r="S9" s="47" t="str">
        <x:v>Verify notifications, email, scheduler markers, audit/events and external provider calls separately.</x:v>
      </x:c>
      <x:c r="T9" s="47" t="str">
        <x:v>Cross-feature product flow</x:v>
      </x:c>
      <x:c r="U9" s="47" t="str">
        <x:v>Retain evidence and restore mutable provider/test fixtures.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 unless explicitly labeled Requires clarification.</x:v>
      </x:c>
    </x:row>
    <x:row r="10" ht="78" customHeight="1">
      <x:c r="A10" s="50" t="str">
        <x:v>E2E-006</x:v>
      </x:c>
      <x:c r="B10" s="47" t="str">
        <x:v>End-to-End Journeys</x:v>
      </x:c>
      <x:c r="C10" s="47" t="str">
        <x:v>End-to-End Journeys</x:v>
      </x:c>
      <x:c r="D10" s="47" t="str">
        <x:v>Distribution link to attributable site visit</x:v>
      </x:c>
      <x:c r="E10" s="47" t="str">
        <x:v>Generate branded asset/link -&gt; click -&gt; listing -&gt; visit request -&gt; lead/event/source metrics</x:v>
      </x:c>
      <x:c r="F10" s="47" t="str">
        <x:v>Distribution link to attributable site visit</x:v>
      </x:c>
      <x:c r="G10" s="47" t="str">
        <x:v>End-to-End</x:v>
      </x:c>
      <x:c r="H10" s="53" t="str">
        <x:v>P0</x:v>
      </x:c>
      <x:c r="I10" s="53" t="str">
        <x:v>Critical</x:v>
      </x:c>
      <x:c r="J10" s="47" t="str">
        <x:v>All roles in journey</x:v>
      </x:c>
      <x:c r="K10" s="47" t="str">
        <x:v>Use the reusable two-tenant QA data matrix and current Docker test environment.</x:v>
      </x:c>
      <x:c r="L10" s="47" t="str">
        <x:v>Agency A/B, representative role accounts, public/private records, valid/invalid tokens and deterministic timestamps.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Reset/seed deterministic fixtures.
2. Capture initial database/API/UI state.
3. Execute: Generate branded asset/link -&gt; click -&gt; listing -&gt; visit request -&gt; lead/event/source metrics
4. Inspect response, UI, database, logs and downstream modules.
5. Repeat with tenant/role/failure variation where stated.
6. Compare against the pass condition.</x:v>
      </x:c>
      <x:c r="O10" s="47" t="str">
        <x:v>Attribution persists through link, event, lead, interest and visit.</x:v>
      </x:c>
      <x:c r="P10" s="47" t="str">
        <x:v>Only rows explicitly required by the workflow may change; tenant B and unrelated records remain identical. Verify counts, foreign keys, histories, timestamps and rollback.</x:v>
      </x:c>
      <x:c r="Q10" s="47" t="str">
        <x:v>Use actual endpoints named in the relevant feature sheet/guide. Verify 2xx success and 400/401/403/404/409/429/5xx recovery behavior as applicable.</x:v>
      </x:c>
      <x:c r="R10" s="47" t="str">
        <x:v>UI must reflect server truth after refresh, show safe errors, and expose no unauthorized data.</x:v>
      </x:c>
      <x:c r="S10" s="47" t="str">
        <x:v>Verify notifications, email, scheduler markers, audit/events and external provider calls separately.</x:v>
      </x:c>
      <x:c r="T10" s="47" t="str">
        <x:v>Cross-feature product flow</x:v>
      </x:c>
      <x:c r="U10" s="47" t="str">
        <x:v>Retain evidence and restore mutable provider/test fixtures.</x:v>
      </x:c>
      <x:c r="V10" s="47" t="str"/>
      <x:c r="W10" s="53" t="str">
        <x:v>Not Run</x:v>
      </x:c>
      <x:c r="X10" s="53" t="str"/>
      <x:c r="Y10" s="53" t="str">
        <x:v>Yes</x:v>
      </x:c>
      <x:c r="Z10" s="47" t="str">
        <x:v>Current implementation unless explicitly labeled Requires clarification.</x:v>
      </x:c>
    </x:row>
    <x:row r="11" ht="78" customHeight="1">
      <x:c r="A11" s="50" t="str">
        <x:v>E2E-007</x:v>
      </x:c>
      <x:c r="B11" s="47" t="str">
        <x:v>End-to-End Journeys</x:v>
      </x:c>
      <x:c r="C11" s="47" t="str">
        <x:v>End-to-End Journeys</x:v>
      </x:c>
      <x:c r="D11" s="47" t="str">
        <x:v>Negotiation to accepted offer</x:v>
      </x:c>
      <x:c r="E11" s="47" t="str">
        <x:v>Lead -&gt; deal -&gt; submitted/countered offer -&gt; accept -&gt; contract stage/value -&gt; report</x:v>
      </x:c>
      <x:c r="F11" s="47" t="str">
        <x:v>Negotiation to accepted offer</x:v>
      </x:c>
      <x:c r="G11" s="47" t="str">
        <x:v>End-to-End</x:v>
      </x:c>
      <x:c r="H11" s="53" t="str">
        <x:v>P0</x:v>
      </x:c>
      <x:c r="I11" s="53" t="str">
        <x:v>Critical</x:v>
      </x:c>
      <x:c r="J11" s="47" t="str">
        <x:v>All roles in journey</x:v>
      </x:c>
      <x:c r="K11" s="47" t="str">
        <x:v>Use the reusable two-tenant QA data matrix and current Docker test environment.</x:v>
      </x:c>
      <x:c r="L11" s="47" t="str">
        <x:v>Agency A/B, representative role accounts, public/private records, valid/invalid tokens and deterministic timestamps.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Reset/seed deterministic fixtures.
2. Capture initial database/API/UI state.
3. Execute: Lead -&gt; deal -&gt; submitted/countered offer -&gt; accept -&gt; contract stage/value -&gt; report
4. Inspect response, UI, database, logs and downstream modules.
5. Repeat with tenant/role/failure variation where stated.
6. Compare against the pass condition.</x:v>
      </x:c>
      <x:c r="O11" s="47" t="str">
        <x:v>Offer/deal/report values remain consistent; no Stripe property payment.</x:v>
      </x:c>
      <x:c r="P11" s="47" t="str">
        <x:v>Only rows explicitly required by the workflow may change; tenant B and unrelated records remain identical. Verify counts, foreign keys, histories, timestamps and rollback.</x:v>
      </x:c>
      <x:c r="Q11" s="47" t="str">
        <x:v>Use actual endpoints named in the relevant feature sheet/guide. Verify 2xx success and 400/401/403/404/409/429/5xx recovery behavior as applicable.</x:v>
      </x:c>
      <x:c r="R11" s="47" t="str">
        <x:v>UI must reflect server truth after refresh, show safe errors, and expose no unauthorized data.</x:v>
      </x:c>
      <x:c r="S11" s="47" t="str">
        <x:v>Verify notifications, email, scheduler markers, audit/events and external provider calls separately.</x:v>
      </x:c>
      <x:c r="T11" s="47" t="str">
        <x:v>Cross-feature product flow</x:v>
      </x:c>
      <x:c r="U11" s="47" t="str">
        <x:v>Retain evidence and restore mutable provider/test fixtures.</x:v>
      </x:c>
      <x:c r="V11" s="47" t="str"/>
      <x:c r="W11" s="53" t="str">
        <x:v>Not Run</x:v>
      </x:c>
      <x:c r="X11" s="53" t="str"/>
      <x:c r="Y11" s="53" t="str">
        <x:v>Yes</x:v>
      </x:c>
      <x:c r="Z11" s="47" t="str">
        <x:v>Current implementation unless explicitly labeled Requires clarification.</x:v>
      </x:c>
    </x:row>
    <x:row r="12" ht="78" customHeight="1">
      <x:c r="A12" s="50" t="str">
        <x:v>E2E-008</x:v>
      </x:c>
      <x:c r="B12" s="47" t="str">
        <x:v>End-to-End Journeys</x:v>
      </x:c>
      <x:c r="C12" s="47" t="str">
        <x:v>End-to-End Journeys</x:v>
      </x:c>
      <x:c r="D12" s="47" t="str">
        <x:v>Rental record workflow without payment</x:v>
      </x:c>
      <x:c r="E12" s="47" t="str">
        <x:v>Rental property -&gt; tenant contact/owner -&gt; lease -&gt; documents -&gt; tasks -&gt; active/renewed</x:v>
      </x:c>
      <x:c r="F12" s="47" t="str">
        <x:v>Rental record workflow without payment</x:v>
      </x:c>
      <x:c r="G12" s="47" t="str">
        <x:v>End-to-End</x:v>
      </x:c>
      <x:c r="H12" s="53" t="str">
        <x:v>P0</x:v>
      </x:c>
      <x:c r="I12" s="53" t="str">
        <x:v>Critical</x:v>
      </x:c>
      <x:c r="J12" s="47" t="str">
        <x:v>All roles in journey</x:v>
      </x:c>
      <x:c r="K12" s="47" t="str">
        <x:v>Use the reusable two-tenant QA data matrix and current Docker test environment.</x:v>
      </x:c>
      <x:c r="L12" s="47" t="str">
        <x:v>Agency A/B, representative role accounts, public/private records, valid/invalid tokens and deterministic timestamps.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Reset/seed deterministic fixtures.
2. Capture initial database/API/UI state.
3. Execute: Rental property -&gt; tenant contact/owner -&gt; lease -&gt; documents -&gt; tasks -&gt; active/renewed
4. Inspect response, UI, database, logs and downstream modules.
5. Repeat with tenant/role/failure variation where stated.
6. Compare against the pass condition.</x:v>
      </x:c>
      <x:c r="O12" s="47" t="str">
        <x:v>Operational lease data changes only; subscription billing unaffected.</x:v>
      </x:c>
      <x:c r="P12" s="47" t="str">
        <x:v>Only rows explicitly required by the workflow may change; tenant B and unrelated records remain identical. Verify counts, foreign keys, histories, timestamps and rollback.</x:v>
      </x:c>
      <x:c r="Q12" s="47" t="str">
        <x:v>Use actual endpoints named in the relevant feature sheet/guide. Verify 2xx success and 400/401/403/404/409/429/5xx recovery behavior as applicable.</x:v>
      </x:c>
      <x:c r="R12" s="47" t="str">
        <x:v>UI must reflect server truth after refresh, show safe errors, and expose no unauthorized data.</x:v>
      </x:c>
      <x:c r="S12" s="47" t="str">
        <x:v>Verify notifications, email, scheduler markers, audit/events and external provider calls separately.</x:v>
      </x:c>
      <x:c r="T12" s="47" t="str">
        <x:v>Cross-feature product flow</x:v>
      </x:c>
      <x:c r="U12" s="47" t="str">
        <x:v>Retain evidence and restore mutable provider/test fixtures.</x:v>
      </x:c>
      <x:c r="V12" s="47" t="str"/>
      <x:c r="W12" s="53" t="str">
        <x:v>Not Run</x:v>
      </x:c>
      <x:c r="X12" s="53" t="str"/>
      <x:c r="Y12" s="53" t="str">
        <x:v>Yes</x:v>
      </x:c>
      <x:c r="Z12" s="47" t="str">
        <x:v>Current implementation unless explicitly labeled Requires clarification.</x:v>
      </x:c>
    </x:row>
    <x:row r="13" ht="78" customHeight="1">
      <x:c r="A13" s="50" t="str">
        <x:v>E2E-009</x:v>
      </x:c>
      <x:c r="B13" s="47" t="str">
        <x:v>End-to-End Journeys</x:v>
      </x:c>
      <x:c r="C13" s="47" t="str">
        <x:v>End-to-End Journeys</x:v>
      </x:c>
      <x:c r="D13" s="47" t="str">
        <x:v>Customer portal engagement</x:v>
      </x:c>
      <x:c r="E13" s="47" t="str">
        <x:v>Register/login -&gt; save property -&gt; saved search -&gt; alert -&gt; appointment -&gt; agent notification</x:v>
      </x:c>
      <x:c r="F13" s="47" t="str">
        <x:v>Customer portal engagement</x:v>
      </x:c>
      <x:c r="G13" s="47" t="str">
        <x:v>End-to-End</x:v>
      </x:c>
      <x:c r="H13" s="53" t="str">
        <x:v>P0</x:v>
      </x:c>
      <x:c r="I13" s="53" t="str">
        <x:v>Critical</x:v>
      </x:c>
      <x:c r="J13" s="47" t="str">
        <x:v>All roles in journey</x:v>
      </x:c>
      <x:c r="K13" s="47" t="str">
        <x:v>Use the reusable two-tenant QA data matrix and current Docker test environment.</x:v>
      </x:c>
      <x:c r="L13" s="47" t="str">
        <x:v>Agency A/B, representative role accounts, public/private records, valid/invalid tokens and deterministic timestamps.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Reset/seed deterministic fixtures.
2. Capture initial database/API/UI state.
3. Execute: Register/login -&gt; save property -&gt; saved search -&gt; alert -&gt; appointment -&gt; agent notification
4. Inspect response, UI, database, logs and downstream modules.
5. Repeat with tenant/role/failure variation where stated.
6. Compare against the pass condition.</x:v>
      </x:c>
      <x:c r="O13" s="47" t="str">
        <x:v>Customer/tenant isolation and public eligibility hold across all steps.</x:v>
      </x:c>
      <x:c r="P13" s="47" t="str">
        <x:v>Only rows explicitly required by the workflow may change; tenant B and unrelated records remain identical. Verify counts, foreign keys, histories, timestamps and rollback.</x:v>
      </x:c>
      <x:c r="Q13" s="47" t="str">
        <x:v>Use actual endpoints named in the relevant feature sheet/guide. Verify 2xx success and 400/401/403/404/409/429/5xx recovery behavior as applicable.</x:v>
      </x:c>
      <x:c r="R13" s="47" t="str">
        <x:v>UI must reflect server truth after refresh, show safe errors, and expose no unauthorized data.</x:v>
      </x:c>
      <x:c r="S13" s="47" t="str">
        <x:v>Verify notifications, email, scheduler markers, audit/events and external provider calls separately.</x:v>
      </x:c>
      <x:c r="T13" s="47" t="str">
        <x:v>Cross-feature product flow</x:v>
      </x:c>
      <x:c r="U13" s="47" t="str">
        <x:v>Retain evidence and restore mutable provider/test fixtures.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 unless explicitly labeled Requires clarification.</x:v>
      </x:c>
    </x:row>
    <x:row r="14" ht="78" customHeight="1">
      <x:c r="A14" s="50" t="str">
        <x:v>E2E-010</x:v>
      </x:c>
      <x:c r="B14" s="47" t="str">
        <x:v>End-to-End Journeys</x:v>
      </x:c>
      <x:c r="C14" s="47" t="str">
        <x:v>End-to-End Journeys</x:v>
      </x:c>
      <x:c r="D14" s="47" t="str">
        <x:v>Meta social campaign publication</x:v>
      </x:c>
      <x:c r="E14" s="47" t="str">
        <x:v>Property distribution draft -&gt; connect Meta -&gt; schedule -&gt; partial failure -&gt; retry -&gt; public inquiry</x:v>
      </x:c>
      <x:c r="F14" s="47" t="str">
        <x:v>Meta social campaign publication</x:v>
      </x:c>
      <x:c r="G14" s="47" t="str">
        <x:v>End-to-End</x:v>
      </x:c>
      <x:c r="H14" s="53" t="str">
        <x:v>P0</x:v>
      </x:c>
      <x:c r="I14" s="53" t="str">
        <x:v>Critical</x:v>
      </x:c>
      <x:c r="J14" s="47" t="str">
        <x:v>All roles in journey</x:v>
      </x:c>
      <x:c r="K14" s="47" t="str">
        <x:v>Use the reusable two-tenant QA data matrix and current Docker test environment.</x:v>
      </x:c>
      <x:c r="L14" s="47" t="str">
        <x:v>Agency A/B, representative role accounts, public/private records, valid/invalid tokens and deterministic timestamps.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Reset/seed deterministic fixtures.
2. Capture initial database/API/UI state.
3. Execute: Property distribution draft -&gt; connect Meta -&gt; schedule -&gt; partial failure -&gt; retry -&gt; public inquiry
4. Inspect response, UI, database, logs and downstream modules.
5. Repeat with tenant/role/failure variation where stated.
6. Compare against the pass condition.</x:v>
      </x:c>
      <x:c r="O14" s="47" t="str">
        <x:v>One remote post per target and campaign attribution reaches the inquiry.</x:v>
      </x:c>
      <x:c r="P14" s="47" t="str">
        <x:v>Only rows explicitly required by the workflow may change; tenant B and unrelated records remain identical. Verify counts, foreign keys, histories, timestamps and rollback.</x:v>
      </x:c>
      <x:c r="Q14" s="47" t="str">
        <x:v>Use actual endpoints named in the relevant feature sheet/guide. Verify 2xx success and 400/401/403/404/409/429/5xx recovery behavior as applicable.</x:v>
      </x:c>
      <x:c r="R14" s="47" t="str">
        <x:v>UI must reflect server truth after refresh, show safe errors, and expose no unauthorized data.</x:v>
      </x:c>
      <x:c r="S14" s="47" t="str">
        <x:v>Verify notifications, email, scheduler markers, audit/events and external provider calls separately.</x:v>
      </x:c>
      <x:c r="T14" s="47" t="str">
        <x:v>Cross-feature product flow</x:v>
      </x:c>
      <x:c r="U14" s="47" t="str">
        <x:v>Retain evidence and restore mutable provider/test fixtures.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 unless explicitly labeled Requires clarification.</x:v>
      </x:c>
    </x:row>
    <x:row r="15" ht="78" customHeight="1">
      <x:c r="A15" s="50" t="str">
        <x:v>E2E-011</x:v>
      </x:c>
      <x:c r="B15" s="47" t="str">
        <x:v>End-to-End Journeys</x:v>
      </x:c>
      <x:c r="C15" s="47" t="str">
        <x:v>End-to-End Journeys</x:v>
      </x:c>
      <x:c r="D15" s="47" t="str">
        <x:v>Agency suspension across the platform</x:v>
      </x:c>
      <x:c r="E15" s="47" t="str">
        <x:v>Existing JWT/public site/scheduler due items -&gt; super admin suspend -&gt; repeat access/jobs -&gt; restore</x:v>
      </x:c>
      <x:c r="F15" s="47" t="str">
        <x:v>Agency suspension across the platform</x:v>
      </x:c>
      <x:c r="G15" s="47" t="str">
        <x:v>End-to-End</x:v>
      </x:c>
      <x:c r="H15" s="53" t="str">
        <x:v>P0</x:v>
      </x:c>
      <x:c r="I15" s="53" t="str">
        <x:v>Critical</x:v>
      </x:c>
      <x:c r="J15" s="47" t="str">
        <x:v>All roles in journey</x:v>
      </x:c>
      <x:c r="K15" s="47" t="str">
        <x:v>Use the reusable two-tenant QA data matrix and current Docker test environment.</x:v>
      </x:c>
      <x:c r="L15" s="47" t="str">
        <x:v>Agency A/B, representative role accounts, public/private records, valid/invalid tokens and deterministic timestamps.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Reset/seed deterministic fixtures.
2. Capture initial database/API/UI state.
3. Execute: Existing JWT/public site/scheduler due items -&gt; super admin suspend -&gt; repeat access/jobs -&gt; restore
4. Inspect response, UI, database, logs and downstream modules.
5. Repeat with tenant/role/failure variation where stated.
6. Compare against the pass condition.</x:v>
      </x:c>
      <x:c r="O15" s="47" t="str">
        <x:v>Access/public processing stop without data loss, then recover after restore.</x:v>
      </x:c>
      <x:c r="P15" s="47" t="str">
        <x:v>Only rows explicitly required by the workflow may change; tenant B and unrelated records remain identical. Verify counts, foreign keys, histories, timestamps and rollback.</x:v>
      </x:c>
      <x:c r="Q15" s="47" t="str">
        <x:v>Use actual endpoints named in the relevant feature sheet/guide. Verify 2xx success and 400/401/403/404/409/429/5xx recovery behavior as applicable.</x:v>
      </x:c>
      <x:c r="R15" s="47" t="str">
        <x:v>UI must reflect server truth after refresh, show safe errors, and expose no unauthorized data.</x:v>
      </x:c>
      <x:c r="S15" s="47" t="str">
        <x:v>Verify notifications, email, scheduler markers, audit/events and external provider calls separately.</x:v>
      </x:c>
      <x:c r="T15" s="47" t="str">
        <x:v>Cross-feature product flow</x:v>
      </x:c>
      <x:c r="U15" s="47" t="str">
        <x:v>Retain evidence and restore mutable provider/test fixtures.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 unless explicitly labeled Requires clarification.</x:v>
      </x:c>
    </x:row>
    <x:row r="16" ht="78" customHeight="1">
      <x:c r="A16" s="51" t="str">
        <x:v>E2E-012</x:v>
      </x:c>
      <x:c r="B16" s="48" t="str">
        <x:v>End-to-End Journeys</x:v>
      </x:c>
      <x:c r="C16" s="48" t="str">
        <x:v>End-to-End Journeys</x:v>
      </x:c>
      <x:c r="D16" s="48" t="str">
        <x:v>Team invitation and agent lifecycle</x:v>
      </x:c>
      <x:c r="E16" s="48" t="str">
        <x:v>Invite -&gt; email -&gt; accept -&gt; profile -&gt; property/lead assignment -&gt; deactivate -&gt; public/auth restrictions</x:v>
      </x:c>
      <x:c r="F16" s="48" t="str">
        <x:v>Team invitation and agent lifecycle</x:v>
      </x:c>
      <x:c r="G16" s="48" t="str">
        <x:v>End-to-End</x:v>
      </x:c>
      <x:c r="H16" s="54" t="str">
        <x:v>P0</x:v>
      </x:c>
      <x:c r="I16" s="54" t="str">
        <x:v>Critical</x:v>
      </x:c>
      <x:c r="J16" s="48" t="str">
        <x:v>All roles in journey</x:v>
      </x:c>
      <x:c r="K16" s="48" t="str">
        <x:v>Use the reusable two-tenant QA data matrix and current Docker test environment.</x:v>
      </x:c>
      <x:c r="L16" s="48" t="str">
        <x:v>Agency A/B, representative role accounts, public/private records, valid/invalid tokens and deterministic timestamps.</x:v>
      </x:c>
      <x:c r="M16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8" t="str">
        <x:v>1. Reset/seed deterministic fixtures.
2. Capture initial database/API/UI state.
3. Execute: Invite -&gt; email -&gt; accept -&gt; profile -&gt; property/lead assignment -&gt; deactivate -&gt; public/auth restrictions
4. Inspect response, UI, database, logs and downstream modules.
5. Repeat with tenant/role/failure variation where stated.
6. Compare against the pass condition.</x:v>
      </x:c>
      <x:c r="O16" s="48" t="str">
        <x:v>Identity/access changes propagate while historical business references remain.</x:v>
      </x:c>
      <x:c r="P16" s="48" t="str">
        <x:v>Only rows explicitly required by the workflow may change; tenant B and unrelated records remain identical. Verify counts, foreign keys, histories, timestamps and rollback.</x:v>
      </x:c>
      <x:c r="Q16" s="48" t="str">
        <x:v>Use actual endpoints named in the relevant feature sheet/guide. Verify 2xx success and 400/401/403/404/409/429/5xx recovery behavior as applicable.</x:v>
      </x:c>
      <x:c r="R16" s="48" t="str">
        <x:v>UI must reflect server truth after refresh, show safe errors, and expose no unauthorized data.</x:v>
      </x:c>
      <x:c r="S16" s="48" t="str">
        <x:v>Verify notifications, email, scheduler markers, audit/events and external provider calls separately.</x:v>
      </x:c>
      <x:c r="T16" s="48" t="str">
        <x:v>Cross-feature product flow</x:v>
      </x:c>
      <x:c r="U16" s="48" t="str">
        <x:v>Retain evidence and restore mutable provider/test fixtures.</x:v>
      </x:c>
      <x:c r="V16" s="48" t="str"/>
      <x:c r="W16" s="54" t="str">
        <x:v>Not Run</x:v>
      </x:c>
      <x:c r="X16" s="54" t="str"/>
      <x:c r="Y16" s="54" t="str">
        <x:v>Yes</x:v>
      </x:c>
      <x:c r="Z16" s="48" t="str">
        <x:v>Current implementation unless explicitly labeled Requires clarification.</x:v>
      </x:c>
    </x:row>
  </x:sheetData>
  <x:mergeCells>
    <x:mergeCell ref="A1:Z1"/>
    <x:mergeCell ref="A2:Z2"/>
  </x:mergeCells>
  <x:conditionalFormatting sqref="H5:H16">
    <x:cfRule type="expression" dxfId="224" priority="1">
      <x:formula>H5="P0"</x:formula>
    </x:cfRule>
    <x:cfRule type="expression" dxfId="225" priority="2">
      <x:formula>H5="P1"</x:formula>
    </x:cfRule>
    <x:cfRule type="expression" dxfId="226" priority="3">
      <x:formula>H5="P2"</x:formula>
    </x:cfRule>
    <x:cfRule type="expression" dxfId="227" priority="4">
      <x:formula>H5="P3"</x:formula>
    </x:cfRule>
  </x:conditionalFormatting>
  <x:conditionalFormatting sqref="W5:W16">
    <x:cfRule type="expression" dxfId="228" priority="5">
      <x:formula>W5="Passed"</x:formula>
    </x:cfRule>
    <x:cfRule type="expression" dxfId="229" priority="6">
      <x:formula>W5="Failed"</x:formula>
    </x:cfRule>
    <x:cfRule type="expression" dxfId="230" priority="7">
      <x:formula>W5="Blocked"</x:formula>
    </x:cfRule>
    <x:cfRule type="expression" dxfId="231" priority="8">
      <x:formula>W5="Skipped"</x:formula>
    </x:cfRule>
  </x:conditionalFormatting>
  <x:dataValidations count="4">
    <x:dataValidation type="list" sqref="H5:H16">
      <x:formula1>"P0,P1,P2,P3"</x:formula1>
    </x:dataValidation>
    <x:dataValidation type="list" sqref="I5:I16">
      <x:formula1>"Critical,High,Medium,Low"</x:formula1>
    </x:dataValidation>
    <x:dataValidation type="list" sqref="W5:W16">
      <x:formula1>"Not Run,Passed,Failed,Blocked,Skipped"</x:formula1>
    </x:dataValidation>
    <x:dataValidation type="list" sqref="Y5:Y16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107b19d2414f00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Regression Suite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28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REG-001</x:v>
      </x:c>
      <x:c r="B5" s="46" t="str">
        <x:v>Regression Suite</x:v>
      </x:c>
      <x:c r="C5" s="46" t="str">
        <x:v>Regression Suite</x:v>
      </x:c>
      <x:c r="D5" s="46" t="str">
        <x:v>Owner login/OTP/JWT and dashboard access</x:v>
      </x:c>
      <x:c r="E5" s="46" t="str">
        <x:v>Execute the full high-value regression path: Owner login/OTP/JWT and dashboard access.</x:v>
      </x:c>
      <x:c r="F5" s="46" t="str">
        <x:v>Owner login/OTP/JWT and dashboard access</x:v>
      </x:c>
      <x:c r="G5" s="46" t="str">
        <x:v>Regression</x:v>
      </x:c>
      <x:c r="H5" s="52" t="str">
        <x:v>P0</x:v>
      </x:c>
      <x:c r="I5" s="52" t="str">
        <x:v>Critical</x:v>
      </x:c>
      <x:c r="J5" s="46" t="str">
        <x:v>Relevant role matrix</x:v>
      </x:c>
      <x:c r="K5" s="46" t="str">
        <x:v>Use the reusable two-tenant QA data matrix and current Docker test environment.</x:v>
      </x:c>
      <x:c r="L5" s="46" t="str">
        <x:v>Agency A/B, representative role accounts, public/private records, valid/invalid tokens and deterministic timestamps.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Reset/seed deterministic fixtures.
2. Capture initial database/API/UI state.
3. Execute: Execute the full high-value regression path: Owner login/OTP/JWT and dashboard access.
4. Inspect response, UI, database, logs and downstream modules.
5. Repeat with tenant/role/failure variation where stated.
6. Compare against the pass condition.</x:v>
      </x:c>
      <x:c r="O5" s="46" t="str">
        <x:v>The previously accepted current implementation behavior passes at API, database, UI and side-effect layers with no tenant leak or new regression.</x:v>
      </x:c>
      <x:c r="P5" s="46" t="str">
        <x:v>Only rows explicitly required by the workflow may change; tenant B and unrelated records remain identical. Verify counts, foreign keys, histories, timestamps and rollback.</x:v>
      </x:c>
      <x:c r="Q5" s="46" t="str">
        <x:v>Use actual endpoints named in the relevant feature sheet/guide. Verify 2xx success and 400/401/403/404/409/429/5xx recovery behavior as applicable.</x:v>
      </x:c>
      <x:c r="R5" s="46" t="str">
        <x:v>UI must reflect server truth after refresh, show safe errors, and expose no unauthorized data.</x:v>
      </x:c>
      <x:c r="S5" s="46" t="str">
        <x:v>Verify notifications, email, scheduler markers, audit/events and external provider calls separately.</x:v>
      </x:c>
      <x:c r="T5" s="46" t="str">
        <x:v>Core authentication, CRUD, permissions, workflows and integrations</x:v>
      </x:c>
      <x:c r="U5" s="46" t="str">
        <x:v>Retain evidence and restore mutable provider/test fixtures.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 unless explicitly labeled Requires clarification.</x:v>
      </x:c>
    </x:row>
    <x:row r="6" ht="78" customHeight="1">
      <x:c r="A6" s="50" t="str">
        <x:v>REG-002</x:v>
      </x:c>
      <x:c r="B6" s="47" t="str">
        <x:v>Regression Suite</x:v>
      </x:c>
      <x:c r="C6" s="47" t="str">
        <x:v>Regression Suite</x:v>
      </x:c>
      <x:c r="D6" s="47" t="str">
        <x:v>Expired subscription rejects existing JWT</x:v>
      </x:c>
      <x:c r="E6" s="47" t="str">
        <x:v>Execute the full high-value regression path: Expired subscription rejects existing JWT.</x:v>
      </x:c>
      <x:c r="F6" s="47" t="str">
        <x:v>Expired subscription rejects existing JWT</x:v>
      </x:c>
      <x:c r="G6" s="47" t="str">
        <x:v>Regression</x:v>
      </x:c>
      <x:c r="H6" s="53" t="str">
        <x:v>P0</x:v>
      </x:c>
      <x:c r="I6" s="53" t="str">
        <x:v>Critical</x:v>
      </x:c>
      <x:c r="J6" s="47" t="str">
        <x:v>Relevant role matrix</x:v>
      </x:c>
      <x:c r="K6" s="47" t="str">
        <x:v>Use the reusable two-tenant QA data matrix and current Docker test environment.</x:v>
      </x:c>
      <x:c r="L6" s="47" t="str">
        <x:v>Agency A/B, representative role accounts, public/private records, valid/invalid tokens and deterministic timestamps.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Reset/seed deterministic fixtures.
2. Capture initial database/API/UI state.
3. Execute: Execute the full high-value regression path: Expired subscription rejects existing JWT.
4. Inspect response, UI, database, logs and downstream modules.
5. Repeat with tenant/role/failure variation where stated.
6. Compare against the pass condition.</x:v>
      </x:c>
      <x:c r="O6" s="47" t="str">
        <x:v>The previously accepted current implementation behavior passes at API, database, UI and side-effect layers with no tenant leak or new regression.</x:v>
      </x:c>
      <x:c r="P6" s="47" t="str">
        <x:v>Only rows explicitly required by the workflow may change; tenant B and unrelated records remain identical. Verify counts, foreign keys, histories, timestamps and rollback.</x:v>
      </x:c>
      <x:c r="Q6" s="47" t="str">
        <x:v>Use actual endpoints named in the relevant feature sheet/guide. Verify 2xx success and 400/401/403/404/409/429/5xx recovery behavior as applicable.</x:v>
      </x:c>
      <x:c r="R6" s="47" t="str">
        <x:v>UI must reflect server truth after refresh, show safe errors, and expose no unauthorized data.</x:v>
      </x:c>
      <x:c r="S6" s="47" t="str">
        <x:v>Verify notifications, email, scheduler markers, audit/events and external provider calls separately.</x:v>
      </x:c>
      <x:c r="T6" s="47" t="str">
        <x:v>Core authentication, CRUD, permissions, workflows and integrations</x:v>
      </x:c>
      <x:c r="U6" s="47" t="str">
        <x:v>Retain evidence and restore mutable provider/test fixtures.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 unless explicitly labeled Requires clarification.</x:v>
      </x:c>
    </x:row>
    <x:row r="7" ht="78" customHeight="1">
      <x:c r="A7" s="50" t="str">
        <x:v>REG-003</x:v>
      </x:c>
      <x:c r="B7" s="47" t="str">
        <x:v>Regression Suite</x:v>
      </x:c>
      <x:c r="C7" s="47" t="str">
        <x:v>Regression Suite</x:v>
      </x:c>
      <x:c r="D7" s="47" t="str">
        <x:v>Agency A cannot access Agency B representative resources</x:v>
      </x:c>
      <x:c r="E7" s="47" t="str">
        <x:v>Execute the full high-value regression path: Agency A cannot access Agency B representative resources.</x:v>
      </x:c>
      <x:c r="F7" s="47" t="str">
        <x:v>Agency A cannot access Agency B representative resources</x:v>
      </x:c>
      <x:c r="G7" s="47" t="str">
        <x:v>Regression</x:v>
      </x:c>
      <x:c r="H7" s="53" t="str">
        <x:v>P0</x:v>
      </x:c>
      <x:c r="I7" s="53" t="str">
        <x:v>Critical</x:v>
      </x:c>
      <x:c r="J7" s="47" t="str">
        <x:v>Relevant role matrix</x:v>
      </x:c>
      <x:c r="K7" s="47" t="str">
        <x:v>Use the reusable two-tenant QA data matrix and current Docker test environment.</x:v>
      </x:c>
      <x:c r="L7" s="47" t="str">
        <x:v>Agency A/B, representative role accounts, public/private records, valid/invalid tokens and deterministic timestamps.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Reset/seed deterministic fixtures.
2. Capture initial database/API/UI state.
3. Execute: Execute the full high-value regression path: Agency A cannot access Agency B representative resources.
4. Inspect response, UI, database, logs and downstream modules.
5. Repeat with tenant/role/failure variation where stated.
6. Compare against the pass condition.</x:v>
      </x:c>
      <x:c r="O7" s="47" t="str">
        <x:v>The previously accepted current implementation behavior passes at API, database, UI and side-effect layers with no tenant leak or new regression.</x:v>
      </x:c>
      <x:c r="P7" s="47" t="str">
        <x:v>Only rows explicitly required by the workflow may change; tenant B and unrelated records remain identical. Verify counts, foreign keys, histories, timestamps and rollback.</x:v>
      </x:c>
      <x:c r="Q7" s="47" t="str">
        <x:v>Use actual endpoints named in the relevant feature sheet/guide. Verify 2xx success and 400/401/403/404/409/429/5xx recovery behavior as applicable.</x:v>
      </x:c>
      <x:c r="R7" s="47" t="str">
        <x:v>UI must reflect server truth after refresh, show safe errors, and expose no unauthorized data.</x:v>
      </x:c>
      <x:c r="S7" s="47" t="str">
        <x:v>Verify notifications, email, scheduler markers, audit/events and external provider calls separately.</x:v>
      </x:c>
      <x:c r="T7" s="47" t="str">
        <x:v>Core authentication, CRUD, permissions, workflows and integrations</x:v>
      </x:c>
      <x:c r="U7" s="47" t="str">
        <x:v>Retain evidence and restore mutable provider/test fixtures.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 unless explicitly labeled Requires clarification.</x:v>
      </x:c>
    </x:row>
    <x:row r="8" ht="78" customHeight="1">
      <x:c r="A8" s="50" t="str">
        <x:v>REG-004</x:v>
      </x:c>
      <x:c r="B8" s="47" t="str">
        <x:v>Regression Suite</x:v>
      </x:c>
      <x:c r="C8" s="47" t="str">
        <x:v>Regression Suite</x:v>
      </x:c>
      <x:c r="D8" s="47" t="str">
        <x:v>Agent cannot escalate role or manage team</x:v>
      </x:c>
      <x:c r="E8" s="47" t="str">
        <x:v>Execute the full high-value regression path: Agent cannot escalate role or manage team.</x:v>
      </x:c>
      <x:c r="F8" s="47" t="str">
        <x:v>Agent cannot escalate role or manage team</x:v>
      </x:c>
      <x:c r="G8" s="47" t="str">
        <x:v>Regression</x:v>
      </x:c>
      <x:c r="H8" s="53" t="str">
        <x:v>P0</x:v>
      </x:c>
      <x:c r="I8" s="53" t="str">
        <x:v>Critical</x:v>
      </x:c>
      <x:c r="J8" s="47" t="str">
        <x:v>Relevant role matrix</x:v>
      </x:c>
      <x:c r="K8" s="47" t="str">
        <x:v>Use the reusable two-tenant QA data matrix and current Docker test environment.</x:v>
      </x:c>
      <x:c r="L8" s="47" t="str">
        <x:v>Agency A/B, representative role accounts, public/private records, valid/invalid tokens and deterministic timestamps.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Reset/seed deterministic fixtures.
2. Capture initial database/API/UI state.
3. Execute: Execute the full high-value regression path: Agent cannot escalate role or manage team.
4. Inspect response, UI, database, logs and downstream modules.
5. Repeat with tenant/role/failure variation where stated.
6. Compare against the pass condition.</x:v>
      </x:c>
      <x:c r="O8" s="47" t="str">
        <x:v>The previously accepted current implementation behavior passes at API, database, UI and side-effect layers with no tenant leak or new regression.</x:v>
      </x:c>
      <x:c r="P8" s="47" t="str">
        <x:v>Only rows explicitly required by the workflow may change; tenant B and unrelated records remain identical. Verify counts, foreign keys, histories, timestamps and rollback.</x:v>
      </x:c>
      <x:c r="Q8" s="47" t="str">
        <x:v>Use actual endpoints named in the relevant feature sheet/guide. Verify 2xx success and 400/401/403/404/409/429/5xx recovery behavior as applicable.</x:v>
      </x:c>
      <x:c r="R8" s="47" t="str">
        <x:v>UI must reflect server truth after refresh, show safe errors, and expose no unauthorized data.</x:v>
      </x:c>
      <x:c r="S8" s="47" t="str">
        <x:v>Verify notifications, email, scheduler markers, audit/events and external provider calls separately.</x:v>
      </x:c>
      <x:c r="T8" s="47" t="str">
        <x:v>Core authentication, CRUD, permissions, workflows and integrations</x:v>
      </x:c>
      <x:c r="U8" s="47" t="str">
        <x:v>Retain evidence and restore mutable provider/test fixtures.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 unless explicitly labeled Requires clarification.</x:v>
      </x:c>
    </x:row>
    <x:row r="9" ht="78" customHeight="1">
      <x:c r="A9" s="50" t="str">
        <x:v>REG-005</x:v>
      </x:c>
      <x:c r="B9" s="47" t="str">
        <x:v>Regression Suite</x:v>
      </x:c>
      <x:c r="C9" s="47" t="str">
        <x:v>Regression Suite</x:v>
      </x:c>
      <x:c r="D9" s="47" t="str">
        <x:v>Property create, assign and valid publish flow</x:v>
      </x:c>
      <x:c r="E9" s="47" t="str">
        <x:v>Execute the full high-value regression path: Property create, assign and valid publish flow.</x:v>
      </x:c>
      <x:c r="F9" s="47" t="str">
        <x:v>Property create, assign and valid publish flow</x:v>
      </x:c>
      <x:c r="G9" s="47" t="str">
        <x:v>Regression</x:v>
      </x:c>
      <x:c r="H9" s="53" t="str">
        <x:v>P0</x:v>
      </x:c>
      <x:c r="I9" s="53" t="str">
        <x:v>Critical</x:v>
      </x:c>
      <x:c r="J9" s="47" t="str">
        <x:v>Relevant role matrix</x:v>
      </x:c>
      <x:c r="K9" s="47" t="str">
        <x:v>Use the reusable two-tenant QA data matrix and current Docker test environment.</x:v>
      </x:c>
      <x:c r="L9" s="47" t="str">
        <x:v>Agency A/B, representative role accounts, public/private records, valid/invalid tokens and deterministic timestamps.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Reset/seed deterministic fixtures.
2. Capture initial database/API/UI state.
3. Execute: Execute the full high-value regression path: Property create, assign and valid publish flow.
4. Inspect response, UI, database, logs and downstream modules.
5. Repeat with tenant/role/failure variation where stated.
6. Compare against the pass condition.</x:v>
      </x:c>
      <x:c r="O9" s="47" t="str">
        <x:v>The previously accepted current implementation behavior passes at API, database, UI and side-effect layers with no tenant leak or new regression.</x:v>
      </x:c>
      <x:c r="P9" s="47" t="str">
        <x:v>Only rows explicitly required by the workflow may change; tenant B and unrelated records remain identical. Verify counts, foreign keys, histories, timestamps and rollback.</x:v>
      </x:c>
      <x:c r="Q9" s="47" t="str">
        <x:v>Use actual endpoints named in the relevant feature sheet/guide. Verify 2xx success and 400/401/403/404/409/429/5xx recovery behavior as applicable.</x:v>
      </x:c>
      <x:c r="R9" s="47" t="str">
        <x:v>UI must reflect server truth after refresh, show safe errors, and expose no unauthorized data.</x:v>
      </x:c>
      <x:c r="S9" s="47" t="str">
        <x:v>Verify notifications, email, scheduler markers, audit/events and external provider calls separately.</x:v>
      </x:c>
      <x:c r="T9" s="47" t="str">
        <x:v>Core authentication, CRUD, permissions, workflows and integrations</x:v>
      </x:c>
      <x:c r="U9" s="47" t="str">
        <x:v>Retain evidence and restore mutable provider/test fixtures.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 unless explicitly labeled Requires clarification.</x:v>
      </x:c>
    </x:row>
    <x:row r="10" ht="78" customHeight="1">
      <x:c r="A10" s="50" t="str">
        <x:v>REG-006</x:v>
      </x:c>
      <x:c r="B10" s="47" t="str">
        <x:v>Regression Suite</x:v>
      </x:c>
      <x:c r="C10" s="47" t="str">
        <x:v>Regression Suite</x:v>
      </x:c>
      <x:c r="D10" s="47" t="str">
        <x:v>Agent property draft/self-assignment enforcement</x:v>
      </x:c>
      <x:c r="E10" s="47" t="str">
        <x:v>Execute the full high-value regression path: Agent property draft/self-assignment enforcement.</x:v>
      </x:c>
      <x:c r="F10" s="47" t="str">
        <x:v>Agent property draft/self-assignment enforcement</x:v>
      </x:c>
      <x:c r="G10" s="47" t="str">
        <x:v>Regression</x:v>
      </x:c>
      <x:c r="H10" s="53" t="str">
        <x:v>P0</x:v>
      </x:c>
      <x:c r="I10" s="53" t="str">
        <x:v>Critical</x:v>
      </x:c>
      <x:c r="J10" s="47" t="str">
        <x:v>Relevant role matrix</x:v>
      </x:c>
      <x:c r="K10" s="47" t="str">
        <x:v>Use the reusable two-tenant QA data matrix and current Docker test environment.</x:v>
      </x:c>
      <x:c r="L10" s="47" t="str">
        <x:v>Agency A/B, representative role accounts, public/private records, valid/invalid tokens and deterministic timestamps.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Reset/seed deterministic fixtures.
2. Capture initial database/API/UI state.
3. Execute: Execute the full high-value regression path: Agent property draft/self-assignment enforcement.
4. Inspect response, UI, database, logs and downstream modules.
5. Repeat with tenant/role/failure variation where stated.
6. Compare against the pass condition.</x:v>
      </x:c>
      <x:c r="O10" s="47" t="str">
        <x:v>The previously accepted current implementation behavior passes at API, database, UI and side-effect layers with no tenant leak or new regression.</x:v>
      </x:c>
      <x:c r="P10" s="47" t="str">
        <x:v>Only rows explicitly required by the workflow may change; tenant B and unrelated records remain identical. Verify counts, foreign keys, histories, timestamps and rollback.</x:v>
      </x:c>
      <x:c r="Q10" s="47" t="str">
        <x:v>Use actual endpoints named in the relevant feature sheet/guide. Verify 2xx success and 400/401/403/404/409/429/5xx recovery behavior as applicable.</x:v>
      </x:c>
      <x:c r="R10" s="47" t="str">
        <x:v>UI must reflect server truth after refresh, show safe errors, and expose no unauthorized data.</x:v>
      </x:c>
      <x:c r="S10" s="47" t="str">
        <x:v>Verify notifications, email, scheduler markers, audit/events and external provider calls separately.</x:v>
      </x:c>
      <x:c r="T10" s="47" t="str">
        <x:v>Core authentication, CRUD, permissions, workflows and integrations</x:v>
      </x:c>
      <x:c r="U10" s="47" t="str">
        <x:v>Retain evidence and restore mutable provider/test fixtures.</x:v>
      </x:c>
      <x:c r="V10" s="47" t="str"/>
      <x:c r="W10" s="53" t="str">
        <x:v>Not Run</x:v>
      </x:c>
      <x:c r="X10" s="53" t="str"/>
      <x:c r="Y10" s="53" t="str">
        <x:v>Yes</x:v>
      </x:c>
      <x:c r="Z10" s="47" t="str">
        <x:v>Current implementation unless explicitly labeled Requires clarification.</x:v>
      </x:c>
    </x:row>
    <x:row r="11" ht="78" customHeight="1">
      <x:c r="A11" s="50" t="str">
        <x:v>REG-007</x:v>
      </x:c>
      <x:c r="B11" s="47" t="str">
        <x:v>Regression Suite</x:v>
      </x:c>
      <x:c r="C11" s="47" t="str">
        <x:v>Regression Suite</x:v>
      </x:c>
      <x:c r="D11" s="47" t="str">
        <x:v>Nepal area conversions and canonical filtering</x:v>
      </x:c>
      <x:c r="E11" s="47" t="str">
        <x:v>Execute the full high-value regression path: Nepal area conversions and canonical filtering.</x:v>
      </x:c>
      <x:c r="F11" s="47" t="str">
        <x:v>Nepal area conversions and canonical filtering</x:v>
      </x:c>
      <x:c r="G11" s="47" t="str">
        <x:v>Regression</x:v>
      </x:c>
      <x:c r="H11" s="53" t="str">
        <x:v>P0</x:v>
      </x:c>
      <x:c r="I11" s="53" t="str">
        <x:v>Critical</x:v>
      </x:c>
      <x:c r="J11" s="47" t="str">
        <x:v>Relevant role matrix</x:v>
      </x:c>
      <x:c r="K11" s="47" t="str">
        <x:v>Use the reusable two-tenant QA data matrix and current Docker test environment.</x:v>
      </x:c>
      <x:c r="L11" s="47" t="str">
        <x:v>Agency A/B, representative role accounts, public/private records, valid/invalid tokens and deterministic timestamps.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Reset/seed deterministic fixtures.
2. Capture initial database/API/UI state.
3. Execute: Execute the full high-value regression path: Nepal area conversions and canonical filtering.
4. Inspect response, UI, database, logs and downstream modules.
5. Repeat with tenant/role/failure variation where stated.
6. Compare against the pass condition.</x:v>
      </x:c>
      <x:c r="O11" s="47" t="str">
        <x:v>The previously accepted current implementation behavior passes at API, database, UI and side-effect layers with no tenant leak or new regression.</x:v>
      </x:c>
      <x:c r="P11" s="47" t="str">
        <x:v>Only rows explicitly required by the workflow may change; tenant B and unrelated records remain identical. Verify counts, foreign keys, histories, timestamps and rollback.</x:v>
      </x:c>
      <x:c r="Q11" s="47" t="str">
        <x:v>Use actual endpoints named in the relevant feature sheet/guide. Verify 2xx success and 400/401/403/404/409/429/5xx recovery behavior as applicable.</x:v>
      </x:c>
      <x:c r="R11" s="47" t="str">
        <x:v>UI must reflect server truth after refresh, show safe errors, and expose no unauthorized data.</x:v>
      </x:c>
      <x:c r="S11" s="47" t="str">
        <x:v>Verify notifications, email, scheduler markers, audit/events and external provider calls separately.</x:v>
      </x:c>
      <x:c r="T11" s="47" t="str">
        <x:v>Core authentication, CRUD, permissions, workflows and integrations</x:v>
      </x:c>
      <x:c r="U11" s="47" t="str">
        <x:v>Retain evidence and restore mutable provider/test fixtures.</x:v>
      </x:c>
      <x:c r="V11" s="47" t="str"/>
      <x:c r="W11" s="53" t="str">
        <x:v>Not Run</x:v>
      </x:c>
      <x:c r="X11" s="53" t="str"/>
      <x:c r="Y11" s="53" t="str">
        <x:v>Yes</x:v>
      </x:c>
      <x:c r="Z11" s="47" t="str">
        <x:v>Current implementation unless explicitly labeled Requires clarification.</x:v>
      </x:c>
    </x:row>
    <x:row r="12" ht="78" customHeight="1">
      <x:c r="A12" s="50" t="str">
        <x:v>REG-008</x:v>
      </x:c>
      <x:c r="B12" s="47" t="str">
        <x:v>Regression Suite</x:v>
      </x:c>
      <x:c r="C12" s="47" t="str">
        <x:v>Regression Suite</x:v>
      </x:c>
      <x:c r="D12" s="47" t="str">
        <x:v>Verification checklist initialization and fully-verified guard</x:v>
      </x:c>
      <x:c r="E12" s="47" t="str">
        <x:v>Execute the full high-value regression path: Verification checklist initialization and fully-verified guard.</x:v>
      </x:c>
      <x:c r="F12" s="47" t="str">
        <x:v>Verification checklist initialization and fully-verified guard</x:v>
      </x:c>
      <x:c r="G12" s="47" t="str">
        <x:v>Regression</x:v>
      </x:c>
      <x:c r="H12" s="53" t="str">
        <x:v>P0</x:v>
      </x:c>
      <x:c r="I12" s="53" t="str">
        <x:v>Critical</x:v>
      </x:c>
      <x:c r="J12" s="47" t="str">
        <x:v>Relevant role matrix</x:v>
      </x:c>
      <x:c r="K12" s="47" t="str">
        <x:v>Use the reusable two-tenant QA data matrix and current Docker test environment.</x:v>
      </x:c>
      <x:c r="L12" s="47" t="str">
        <x:v>Agency A/B, representative role accounts, public/private records, valid/invalid tokens and deterministic timestamps.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Reset/seed deterministic fixtures.
2. Capture initial database/API/UI state.
3. Execute: Execute the full high-value regression path: Verification checklist initialization and fully-verified guard.
4. Inspect response, UI, database, logs and downstream modules.
5. Repeat with tenant/role/failure variation where stated.
6. Compare against the pass condition.</x:v>
      </x:c>
      <x:c r="O12" s="47" t="str">
        <x:v>The previously accepted current implementation behavior passes at API, database, UI and side-effect layers with no tenant leak or new regression.</x:v>
      </x:c>
      <x:c r="P12" s="47" t="str">
        <x:v>Only rows explicitly required by the workflow may change; tenant B and unrelated records remain identical. Verify counts, foreign keys, histories, timestamps and rollback.</x:v>
      </x:c>
      <x:c r="Q12" s="47" t="str">
        <x:v>Use actual endpoints named in the relevant feature sheet/guide. Verify 2xx success and 400/401/403/404/409/429/5xx recovery behavior as applicable.</x:v>
      </x:c>
      <x:c r="R12" s="47" t="str">
        <x:v>UI must reflect server truth after refresh, show safe errors, and expose no unauthorized data.</x:v>
      </x:c>
      <x:c r="S12" s="47" t="str">
        <x:v>Verify notifications, email, scheduler markers, audit/events and external provider calls separately.</x:v>
      </x:c>
      <x:c r="T12" s="47" t="str">
        <x:v>Core authentication, CRUD, permissions, workflows and integrations</x:v>
      </x:c>
      <x:c r="U12" s="47" t="str">
        <x:v>Retain evidence and restore mutable provider/test fixtures.</x:v>
      </x:c>
      <x:c r="V12" s="47" t="str"/>
      <x:c r="W12" s="53" t="str">
        <x:v>Not Run</x:v>
      </x:c>
      <x:c r="X12" s="53" t="str"/>
      <x:c r="Y12" s="53" t="str">
        <x:v>Yes</x:v>
      </x:c>
      <x:c r="Z12" s="47" t="str">
        <x:v>Current implementation unless explicitly labeled Requires clarification.</x:v>
      </x:c>
    </x:row>
    <x:row r="13" ht="78" customHeight="1">
      <x:c r="A13" s="50" t="str">
        <x:v>REG-009</x:v>
      </x:c>
      <x:c r="B13" s="47" t="str">
        <x:v>Regression Suite</x:v>
      </x:c>
      <x:c r="C13" s="47" t="str">
        <x:v>Regression Suite</x:v>
      </x:c>
      <x:c r="D13" s="47" t="str">
        <x:v>Expired listing hidden and approved republish restored</x:v>
      </x:c>
      <x:c r="E13" s="47" t="str">
        <x:v>Execute the full high-value regression path: Expired listing hidden and approved republish restored.</x:v>
      </x:c>
      <x:c r="F13" s="47" t="str">
        <x:v>Expired listing hidden and approved republish restored</x:v>
      </x:c>
      <x:c r="G13" s="47" t="str">
        <x:v>Regression</x:v>
      </x:c>
      <x:c r="H13" s="53" t="str">
        <x:v>P0</x:v>
      </x:c>
      <x:c r="I13" s="53" t="str">
        <x:v>Critical</x:v>
      </x:c>
      <x:c r="J13" s="47" t="str">
        <x:v>Relevant role matrix</x:v>
      </x:c>
      <x:c r="K13" s="47" t="str">
        <x:v>Use the reusable two-tenant QA data matrix and current Docker test environment.</x:v>
      </x:c>
      <x:c r="L13" s="47" t="str">
        <x:v>Agency A/B, representative role accounts, public/private records, valid/invalid tokens and deterministic timestamps.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Reset/seed deterministic fixtures.
2. Capture initial database/API/UI state.
3. Execute: Execute the full high-value regression path: Expired listing hidden and approved republish restored.
4. Inspect response, UI, database, logs and downstream modules.
5. Repeat with tenant/role/failure variation where stated.
6. Compare against the pass condition.</x:v>
      </x:c>
      <x:c r="O13" s="47" t="str">
        <x:v>The previously accepted current implementation behavior passes at API, database, UI and side-effect layers with no tenant leak or new regression.</x:v>
      </x:c>
      <x:c r="P13" s="47" t="str">
        <x:v>Only rows explicitly required by the workflow may change; tenant B and unrelated records remain identical. Verify counts, foreign keys, histories, timestamps and rollback.</x:v>
      </x:c>
      <x:c r="Q13" s="47" t="str">
        <x:v>Use actual endpoints named in the relevant feature sheet/guide. Verify 2xx success and 400/401/403/404/409/429/5xx recovery behavior as applicable.</x:v>
      </x:c>
      <x:c r="R13" s="47" t="str">
        <x:v>UI must reflect server truth after refresh, show safe errors, and expose no unauthorized data.</x:v>
      </x:c>
      <x:c r="S13" s="47" t="str">
        <x:v>Verify notifications, email, scheduler markers, audit/events and external provider calls separately.</x:v>
      </x:c>
      <x:c r="T13" s="47" t="str">
        <x:v>Core authentication, CRUD, permissions, workflows and integrations</x:v>
      </x:c>
      <x:c r="U13" s="47" t="str">
        <x:v>Retain evidence and restore mutable provider/test fixtures.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 unless explicitly labeled Requires clarification.</x:v>
      </x:c>
    </x:row>
    <x:row r="14" ht="78" customHeight="1">
      <x:c r="A14" s="50" t="str">
        <x:v>REG-010</x:v>
      </x:c>
      <x:c r="B14" s="47" t="str">
        <x:v>Regression Suite</x:v>
      </x:c>
      <x:c r="C14" s="47" t="str">
        <x:v>Regression Suite</x:v>
      </x:c>
      <x:c r="D14" s="47" t="str">
        <x:v>Public inquiry dedup and lead automation assignment</x:v>
      </x:c>
      <x:c r="E14" s="47" t="str">
        <x:v>Execute the full high-value regression path: Public inquiry dedup and lead automation assignment.</x:v>
      </x:c>
      <x:c r="F14" s="47" t="str">
        <x:v>Public inquiry dedup and lead automation assignment</x:v>
      </x:c>
      <x:c r="G14" s="47" t="str">
        <x:v>Regression</x:v>
      </x:c>
      <x:c r="H14" s="53" t="str">
        <x:v>P0</x:v>
      </x:c>
      <x:c r="I14" s="53" t="str">
        <x:v>Critical</x:v>
      </x:c>
      <x:c r="J14" s="47" t="str">
        <x:v>Relevant role matrix</x:v>
      </x:c>
      <x:c r="K14" s="47" t="str">
        <x:v>Use the reusable two-tenant QA data matrix and current Docker test environment.</x:v>
      </x:c>
      <x:c r="L14" s="47" t="str">
        <x:v>Agency A/B, representative role accounts, public/private records, valid/invalid tokens and deterministic timestamps.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Reset/seed deterministic fixtures.
2. Capture initial database/API/UI state.
3. Execute: Execute the full high-value regression path: Public inquiry dedup and lead automation assignment.
4. Inspect response, UI, database, logs and downstream modules.
5. Repeat with tenant/role/failure variation where stated.
6. Compare against the pass condition.</x:v>
      </x:c>
      <x:c r="O14" s="47" t="str">
        <x:v>The previously accepted current implementation behavior passes at API, database, UI and side-effect layers with no tenant leak or new regression.</x:v>
      </x:c>
      <x:c r="P14" s="47" t="str">
        <x:v>Only rows explicitly required by the workflow may change; tenant B and unrelated records remain identical. Verify counts, foreign keys, histories, timestamps and rollback.</x:v>
      </x:c>
      <x:c r="Q14" s="47" t="str">
        <x:v>Use actual endpoints named in the relevant feature sheet/guide. Verify 2xx success and 400/401/403/404/409/429/5xx recovery behavior as applicable.</x:v>
      </x:c>
      <x:c r="R14" s="47" t="str">
        <x:v>UI must reflect server truth after refresh, show safe errors, and expose no unauthorized data.</x:v>
      </x:c>
      <x:c r="S14" s="47" t="str">
        <x:v>Verify notifications, email, scheduler markers, audit/events and external provider calls separately.</x:v>
      </x:c>
      <x:c r="T14" s="47" t="str">
        <x:v>Core authentication, CRUD, permissions, workflows and integrations</x:v>
      </x:c>
      <x:c r="U14" s="47" t="str">
        <x:v>Retain evidence and restore mutable provider/test fixtures.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 unless explicitly labeled Requires clarification.</x:v>
      </x:c>
    </x:row>
    <x:row r="15" ht="78" customHeight="1">
      <x:c r="A15" s="50" t="str">
        <x:v>REG-011</x:v>
      </x:c>
      <x:c r="B15" s="47" t="str">
        <x:v>Regression Suite</x:v>
      </x:c>
      <x:c r="C15" s="47" t="str">
        <x:v>Regression Suite</x:v>
      </x:c>
      <x:c r="D15" s="47" t="str">
        <x:v>Agent cannot access another agent lead workspace</x:v>
      </x:c>
      <x:c r="E15" s="47" t="str">
        <x:v>Execute the full high-value regression path: Agent cannot access another agent lead workspace.</x:v>
      </x:c>
      <x:c r="F15" s="47" t="str">
        <x:v>Agent cannot access another agent lead workspace</x:v>
      </x:c>
      <x:c r="G15" s="47" t="str">
        <x:v>Regression</x:v>
      </x:c>
      <x:c r="H15" s="53" t="str">
        <x:v>P0</x:v>
      </x:c>
      <x:c r="I15" s="53" t="str">
        <x:v>Critical</x:v>
      </x:c>
      <x:c r="J15" s="47" t="str">
        <x:v>Relevant role matrix</x:v>
      </x:c>
      <x:c r="K15" s="47" t="str">
        <x:v>Use the reusable two-tenant QA data matrix and current Docker test environment.</x:v>
      </x:c>
      <x:c r="L15" s="47" t="str">
        <x:v>Agency A/B, representative role accounts, public/private records, valid/invalid tokens and deterministic timestamps.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Reset/seed deterministic fixtures.
2. Capture initial database/API/UI state.
3. Execute: Execute the full high-value regression path: Agent cannot access another agent lead workspace.
4. Inspect response, UI, database, logs and downstream modules.
5. Repeat with tenant/role/failure variation where stated.
6. Compare against the pass condition.</x:v>
      </x:c>
      <x:c r="O15" s="47" t="str">
        <x:v>The previously accepted current implementation behavior passes at API, database, UI and side-effect layers with no tenant leak or new regression.</x:v>
      </x:c>
      <x:c r="P15" s="47" t="str">
        <x:v>Only rows explicitly required by the workflow may change; tenant B and unrelated records remain identical. Verify counts, foreign keys, histories, timestamps and rollback.</x:v>
      </x:c>
      <x:c r="Q15" s="47" t="str">
        <x:v>Use actual endpoints named in the relevant feature sheet/guide. Verify 2xx success and 400/401/403/404/409/429/5xx recovery behavior as applicable.</x:v>
      </x:c>
      <x:c r="R15" s="47" t="str">
        <x:v>UI must reflect server truth after refresh, show safe errors, and expose no unauthorized data.</x:v>
      </x:c>
      <x:c r="S15" s="47" t="str">
        <x:v>Verify notifications, email, scheduler markers, audit/events and external provider calls separately.</x:v>
      </x:c>
      <x:c r="T15" s="47" t="str">
        <x:v>Core authentication, CRUD, permissions, workflows and integrations</x:v>
      </x:c>
      <x:c r="U15" s="47" t="str">
        <x:v>Retain evidence and restore mutable provider/test fixtures.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 unless explicitly labeled Requires clarification.</x:v>
      </x:c>
    </x:row>
    <x:row r="16" ht="78" customHeight="1">
      <x:c r="A16" s="50" t="str">
        <x:v>REG-012</x:v>
      </x:c>
      <x:c r="B16" s="47" t="str">
        <x:v>Regression Suite</x:v>
      </x:c>
      <x:c r="C16" s="47" t="str">
        <x:v>Regression Suite</x:v>
      </x:c>
      <x:c r="D16" s="47" t="str">
        <x:v>Meta webhook signature and idempotent ingestion</x:v>
      </x:c>
      <x:c r="E16" s="47" t="str">
        <x:v>Execute the full high-value regression path: Meta webhook signature and idempotent ingestion.</x:v>
      </x:c>
      <x:c r="F16" s="47" t="str">
        <x:v>Meta webhook signature and idempotent ingestion</x:v>
      </x:c>
      <x:c r="G16" s="47" t="str">
        <x:v>Regression</x:v>
      </x:c>
      <x:c r="H16" s="53" t="str">
        <x:v>P0</x:v>
      </x:c>
      <x:c r="I16" s="53" t="str">
        <x:v>Critical</x:v>
      </x:c>
      <x:c r="J16" s="47" t="str">
        <x:v>Relevant role matrix</x:v>
      </x:c>
      <x:c r="K16" s="47" t="str">
        <x:v>Use the reusable two-tenant QA data matrix and current Docker test environment.</x:v>
      </x:c>
      <x:c r="L16" s="47" t="str">
        <x:v>Agency A/B, representative role accounts, public/private records, valid/invalid tokens and deterministic timestamps.</x:v>
      </x:c>
      <x:c r="M1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7" t="str">
        <x:v>1. Reset/seed deterministic fixtures.
2. Capture initial database/API/UI state.
3. Execute: Execute the full high-value regression path: Meta webhook signature and idempotent ingestion.
4. Inspect response, UI, database, logs and downstream modules.
5. Repeat with tenant/role/failure variation where stated.
6. Compare against the pass condition.</x:v>
      </x:c>
      <x:c r="O16" s="47" t="str">
        <x:v>Request is rejected before any payload processing.</x:v>
      </x:c>
      <x:c r="P16" s="47" t="str">
        <x:v>Only rows explicitly required by the workflow may change; tenant B and unrelated records remain identical. Verify counts, foreign keys, histories, timestamps and rollback.</x:v>
      </x:c>
      <x:c r="Q16" s="47" t="str">
        <x:v>Use actual endpoints named in the relevant feature sheet/guide. Verify 2xx success and 400/401/403/404/409/429/5xx recovery behavior as applicable.</x:v>
      </x:c>
      <x:c r="R16" s="47" t="str">
        <x:v>UI must reflect server truth after refresh, show safe errors, and expose no unauthorized data.</x:v>
      </x:c>
      <x:c r="S16" s="47" t="str">
        <x:v>Verify notifications, email, scheduler markers, audit/events and external provider calls separately.</x:v>
      </x:c>
      <x:c r="T16" s="47" t="str">
        <x:v>Core authentication, CRUD, permissions, workflows and integrations</x:v>
      </x:c>
      <x:c r="U16" s="47" t="str">
        <x:v>Retain evidence and restore mutable provider/test fixtures.</x:v>
      </x:c>
      <x:c r="V16" s="47" t="str"/>
      <x:c r="W16" s="53" t="str">
        <x:v>Not Run</x:v>
      </x:c>
      <x:c r="X16" s="53" t="str"/>
      <x:c r="Y16" s="53" t="str">
        <x:v>Yes</x:v>
      </x:c>
      <x:c r="Z16" s="47" t="str">
        <x:v>Current implementation unless explicitly labeled Requires clarification.</x:v>
      </x:c>
    </x:row>
    <x:row r="17" ht="78" customHeight="1">
      <x:c r="A17" s="50" t="str">
        <x:v>REG-013</x:v>
      </x:c>
      <x:c r="B17" s="47" t="str">
        <x:v>Regression Suite</x:v>
      </x:c>
      <x:c r="C17" s="47" t="str">
        <x:v>Regression Suite</x:v>
      </x:c>
      <x:c r="D17" s="47" t="str">
        <x:v>Site visit completion updates lead history</x:v>
      </x:c>
      <x:c r="E17" s="47" t="str">
        <x:v>Execute the full high-value regression path: Site visit completion updates lead history.</x:v>
      </x:c>
      <x:c r="F17" s="47" t="str">
        <x:v>Site visit completion updates lead history</x:v>
      </x:c>
      <x:c r="G17" s="47" t="str">
        <x:v>Regression</x:v>
      </x:c>
      <x:c r="H17" s="53" t="str">
        <x:v>P0</x:v>
      </x:c>
      <x:c r="I17" s="53" t="str">
        <x:v>Critical</x:v>
      </x:c>
      <x:c r="J17" s="47" t="str">
        <x:v>Relevant role matrix</x:v>
      </x:c>
      <x:c r="K17" s="47" t="str">
        <x:v>Use the reusable two-tenant QA data matrix and current Docker test environment.</x:v>
      </x:c>
      <x:c r="L17" s="47" t="str">
        <x:v>Agency A/B, representative role accounts, public/private records, valid/invalid tokens and deterministic timestamps.</x:v>
      </x:c>
      <x:c r="M1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7" s="47" t="str">
        <x:v>1. Reset/seed deterministic fixtures.
2. Capture initial database/API/UI state.
3. Execute: Execute the full high-value regression path: Site visit completion updates lead history.
4. Inspect response, UI, database, logs and downstream modules.
5. Repeat with tenant/role/failure variation where stated.
6. Compare against the pass condition.</x:v>
      </x:c>
      <x:c r="O17" s="47" t="str">
        <x:v>The previously accepted current implementation behavior passes at API, database, UI and side-effect layers with no tenant leak or new regression.</x:v>
      </x:c>
      <x:c r="P17" s="47" t="str">
        <x:v>Only rows explicitly required by the workflow may change; tenant B and unrelated records remain identical. Verify counts, foreign keys, histories, timestamps and rollback.</x:v>
      </x:c>
      <x:c r="Q17" s="47" t="str">
        <x:v>Use actual endpoints named in the relevant feature sheet/guide. Verify 2xx success and 400/401/403/404/409/429/5xx recovery behavior as applicable.</x:v>
      </x:c>
      <x:c r="R17" s="47" t="str">
        <x:v>UI must reflect server truth after refresh, show safe errors, and expose no unauthorized data.</x:v>
      </x:c>
      <x:c r="S17" s="47" t="str">
        <x:v>Verify notifications, email, scheduler markers, audit/events and external provider calls separately.</x:v>
      </x:c>
      <x:c r="T17" s="47" t="str">
        <x:v>Core authentication, CRUD, permissions, workflows and integrations</x:v>
      </x:c>
      <x:c r="U17" s="47" t="str">
        <x:v>Retain evidence and restore mutable provider/test fixtures.</x:v>
      </x:c>
      <x:c r="V17" s="47" t="str"/>
      <x:c r="W17" s="53" t="str">
        <x:v>Not Run</x:v>
      </x:c>
      <x:c r="X17" s="53" t="str"/>
      <x:c r="Y17" s="53" t="str">
        <x:v>Yes</x:v>
      </x:c>
      <x:c r="Z17" s="47" t="str">
        <x:v>Current implementation unless explicitly labeled Requires clarification.</x:v>
      </x:c>
    </x:row>
    <x:row r="18" ht="78" customHeight="1">
      <x:c r="A18" s="50" t="str">
        <x:v>REG-014</x:v>
      </x:c>
      <x:c r="B18" s="47" t="str">
        <x:v>Regression Suite</x:v>
      </x:c>
      <x:c r="C18" s="47" t="str">
        <x:v>Regression Suite</x:v>
      </x:c>
      <x:c r="D18" s="47" t="str">
        <x:v>Accepted offer updates deal contract/value</x:v>
      </x:c>
      <x:c r="E18" s="47" t="str">
        <x:v>Execute the full high-value regression path: Accepted offer updates deal contract/value.</x:v>
      </x:c>
      <x:c r="F18" s="47" t="str">
        <x:v>Accepted offer updates deal contract/value</x:v>
      </x:c>
      <x:c r="G18" s="47" t="str">
        <x:v>Regression</x:v>
      </x:c>
      <x:c r="H18" s="53" t="str">
        <x:v>P0</x:v>
      </x:c>
      <x:c r="I18" s="53" t="str">
        <x:v>Critical</x:v>
      </x:c>
      <x:c r="J18" s="47" t="str">
        <x:v>Relevant role matrix</x:v>
      </x:c>
      <x:c r="K18" s="47" t="str">
        <x:v>Use the reusable two-tenant QA data matrix and current Docker test environment.</x:v>
      </x:c>
      <x:c r="L18" s="47" t="str">
        <x:v>Agency A/B, representative role accounts, public/private records, valid/invalid tokens and deterministic timestamps.</x:v>
      </x:c>
      <x:c r="M1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8" s="47" t="str">
        <x:v>1. Reset/seed deterministic fixtures.
2. Capture initial database/API/UI state.
3. Execute: Execute the full high-value regression path: Accepted offer updates deal contract/value.
4. Inspect response, UI, database, logs and downstream modules.
5. Repeat with tenant/role/failure variation where stated.
6. Compare against the pass condition.</x:v>
      </x:c>
      <x:c r="O18" s="47" t="str">
        <x:v>The previously accepted current implementation behavior passes at API, database, UI and side-effect layers with no tenant leak or new regression.</x:v>
      </x:c>
      <x:c r="P18" s="47" t="str">
        <x:v>Only rows explicitly required by the workflow may change; tenant B and unrelated records remain identical. Verify counts, foreign keys, histories, timestamps and rollback.</x:v>
      </x:c>
      <x:c r="Q18" s="47" t="str">
        <x:v>Use actual endpoints named in the relevant feature sheet/guide. Verify 2xx success and 400/401/403/404/409/429/5xx recovery behavior as applicable.</x:v>
      </x:c>
      <x:c r="R18" s="47" t="str">
        <x:v>UI must reflect server truth after refresh, show safe errors, and expose no unauthorized data.</x:v>
      </x:c>
      <x:c r="S18" s="47" t="str">
        <x:v>Verify notifications, email, scheduler markers, audit/events and external provider calls separately.</x:v>
      </x:c>
      <x:c r="T18" s="47" t="str">
        <x:v>Core authentication, CRUD, permissions, workflows and integrations</x:v>
      </x:c>
      <x:c r="U18" s="47" t="str">
        <x:v>Retain evidence and restore mutable provider/test fixtures.</x:v>
      </x:c>
      <x:c r="V18" s="47" t="str"/>
      <x:c r="W18" s="53" t="str">
        <x:v>Not Run</x:v>
      </x:c>
      <x:c r="X18" s="53" t="str"/>
      <x:c r="Y18" s="53" t="str">
        <x:v>Yes</x:v>
      </x:c>
      <x:c r="Z18" s="47" t="str">
        <x:v>Current implementation unless explicitly labeled Requires clarification.</x:v>
      </x:c>
    </x:row>
    <x:row r="19" ht="78" customHeight="1">
      <x:c r="A19" s="50" t="str">
        <x:v>REG-015</x:v>
      </x:c>
      <x:c r="B19" s="47" t="str">
        <x:v>Regression Suite</x:v>
      </x:c>
      <x:c r="C19" s="47" t="str">
        <x:v>Regression Suite</x:v>
      </x:c>
      <x:c r="D19" s="47" t="str">
        <x:v>Customer token tenant isolation</x:v>
      </x:c>
      <x:c r="E19" s="47" t="str">
        <x:v>Execute the full high-value regression path: Customer token tenant isolation.</x:v>
      </x:c>
      <x:c r="F19" s="47" t="str">
        <x:v>Customer token tenant isolation</x:v>
      </x:c>
      <x:c r="G19" s="47" t="str">
        <x:v>Regression</x:v>
      </x:c>
      <x:c r="H19" s="53" t="str">
        <x:v>P0</x:v>
      </x:c>
      <x:c r="I19" s="53" t="str">
        <x:v>Critical</x:v>
      </x:c>
      <x:c r="J19" s="47" t="str">
        <x:v>Relevant role matrix</x:v>
      </x:c>
      <x:c r="K19" s="47" t="str">
        <x:v>Use the reusable two-tenant QA data matrix and current Docker test environment.</x:v>
      </x:c>
      <x:c r="L19" s="47" t="str">
        <x:v>Agency A/B, representative role accounts, public/private records, valid/invalid tokens and deterministic timestamps.</x:v>
      </x:c>
      <x:c r="M1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9" s="47" t="str">
        <x:v>1. Reset/seed deterministic fixtures.
2. Capture initial database/API/UI state.
3. Execute: Execute the full high-value regression path: Customer token tenant isolation.
4. Inspect response, UI, database, logs and downstream modules.
5. Repeat with tenant/role/failure variation where stated.
6. Compare against the pass condition.</x:v>
      </x:c>
      <x:c r="O19" s="47" t="str">
        <x:v>The previously accepted current implementation behavior passes at API, database, UI and side-effect layers with no tenant leak or new regression.</x:v>
      </x:c>
      <x:c r="P19" s="47" t="str">
        <x:v>Only rows explicitly required by the workflow may change; tenant B and unrelated records remain identical. Verify counts, foreign keys, histories, timestamps and rollback.</x:v>
      </x:c>
      <x:c r="Q19" s="47" t="str">
        <x:v>Use actual endpoints named in the relevant feature sheet/guide. Verify 2xx success and 400/401/403/404/409/429/5xx recovery behavior as applicable.</x:v>
      </x:c>
      <x:c r="R19" s="47" t="str">
        <x:v>UI must reflect server truth after refresh, show safe errors, and expose no unauthorized data.</x:v>
      </x:c>
      <x:c r="S19" s="47" t="str">
        <x:v>Verify notifications, email, scheduler markers, audit/events and external provider calls separately.</x:v>
      </x:c>
      <x:c r="T19" s="47" t="str">
        <x:v>Core authentication, CRUD, permissions, workflows and integrations</x:v>
      </x:c>
      <x:c r="U19" s="47" t="str">
        <x:v>Retain evidence and restore mutable provider/test fixtures.</x:v>
      </x:c>
      <x:c r="V19" s="47" t="str"/>
      <x:c r="W19" s="53" t="str">
        <x:v>Not Run</x:v>
      </x:c>
      <x:c r="X19" s="53" t="str"/>
      <x:c r="Y19" s="53" t="str">
        <x:v>Yes</x:v>
      </x:c>
      <x:c r="Z19" s="47" t="str">
        <x:v>Current implementation unless explicitly labeled Requires clarification.</x:v>
      </x:c>
    </x:row>
    <x:row r="20" ht="78" customHeight="1">
      <x:c r="A20" s="50" t="str">
        <x:v>REG-016</x:v>
      </x:c>
      <x:c r="B20" s="47" t="str">
        <x:v>Regression Suite</x:v>
      </x:c>
      <x:c r="C20" s="47" t="str">
        <x:v>Regression Suite</x:v>
      </x:c>
      <x:c r="D20" s="47" t="str">
        <x:v>Public/private listing and verification-data separation</x:v>
      </x:c>
      <x:c r="E20" s="47" t="str">
        <x:v>Execute the full high-value regression path: Public/private listing and verification-data separation.</x:v>
      </x:c>
      <x:c r="F20" s="47" t="str">
        <x:v>Public/private listing and verification-data separation</x:v>
      </x:c>
      <x:c r="G20" s="47" t="str">
        <x:v>Regression</x:v>
      </x:c>
      <x:c r="H20" s="53" t="str">
        <x:v>P0</x:v>
      </x:c>
      <x:c r="I20" s="53" t="str">
        <x:v>Critical</x:v>
      </x:c>
      <x:c r="J20" s="47" t="str">
        <x:v>Relevant role matrix</x:v>
      </x:c>
      <x:c r="K20" s="47" t="str">
        <x:v>Use the reusable two-tenant QA data matrix and current Docker test environment.</x:v>
      </x:c>
      <x:c r="L20" s="47" t="str">
        <x:v>Agency A/B, representative role accounts, public/private records, valid/invalid tokens and deterministic timestamps.</x:v>
      </x:c>
      <x:c r="M2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0" s="47" t="str">
        <x:v>1. Reset/seed deterministic fixtures.
2. Capture initial database/API/UI state.
3. Execute: Execute the full high-value regression path: Public/private listing and verification-data separation.
4. Inspect response, UI, database, logs and downstream modules.
5. Repeat with tenant/role/failure variation where stated.
6. Compare against the pass condition.</x:v>
      </x:c>
      <x:c r="O20" s="47" t="str">
        <x:v>The previously accepted current implementation behavior passes at API, database, UI and side-effect layers with no tenant leak or new regression.</x:v>
      </x:c>
      <x:c r="P20" s="47" t="str">
        <x:v>Only rows explicitly required by the workflow may change; tenant B and unrelated records remain identical. Verify counts, foreign keys, histories, timestamps and rollback.</x:v>
      </x:c>
      <x:c r="Q20" s="47" t="str">
        <x:v>Use actual endpoints named in the relevant feature sheet/guide. Verify 2xx success and 400/401/403/404/409/429/5xx recovery behavior as applicable.</x:v>
      </x:c>
      <x:c r="R20" s="47" t="str">
        <x:v>UI must reflect server truth after refresh, show safe errors, and expose no unauthorized data.</x:v>
      </x:c>
      <x:c r="S20" s="47" t="str">
        <x:v>Verify notifications, email, scheduler markers, audit/events and external provider calls separately.</x:v>
      </x:c>
      <x:c r="T20" s="47" t="str">
        <x:v>Core authentication, CRUD, permissions, workflows and integrations</x:v>
      </x:c>
      <x:c r="U20" s="47" t="str">
        <x:v>Retain evidence and restore mutable provider/test fixtures.</x:v>
      </x:c>
      <x:c r="V20" s="47" t="str"/>
      <x:c r="W20" s="53" t="str">
        <x:v>Not Run</x:v>
      </x:c>
      <x:c r="X20" s="53" t="str"/>
      <x:c r="Y20" s="53" t="str">
        <x:v>Yes</x:v>
      </x:c>
      <x:c r="Z20" s="47" t="str">
        <x:v>Current implementation unless explicitly labeled Requires clarification.</x:v>
      </x:c>
    </x:row>
    <x:row r="21" ht="78" customHeight="1">
      <x:c r="A21" s="50" t="str">
        <x:v>REG-017</x:v>
      </x:c>
      <x:c r="B21" s="47" t="str">
        <x:v>Regression Suite</x:v>
      </x:c>
      <x:c r="C21" s="47" t="str">
        <x:v>Regression Suite</x:v>
      </x:c>
      <x:c r="D21" s="47" t="str">
        <x:v>Stripe only gates SaaS subscription, never property transaction</x:v>
      </x:c>
      <x:c r="E21" s="47" t="str">
        <x:v>Execute the full high-value regression path: Stripe only gates SaaS subscription, never property transaction.</x:v>
      </x:c>
      <x:c r="F21" s="47" t="str">
        <x:v>Stripe only gates SaaS subscription, never property transaction</x:v>
      </x:c>
      <x:c r="G21" s="47" t="str">
        <x:v>Regression</x:v>
      </x:c>
      <x:c r="H21" s="53" t="str">
        <x:v>P0</x:v>
      </x:c>
      <x:c r="I21" s="53" t="str">
        <x:v>Critical</x:v>
      </x:c>
      <x:c r="J21" s="47" t="str">
        <x:v>Relevant role matrix</x:v>
      </x:c>
      <x:c r="K21" s="47" t="str">
        <x:v>Use the reusable two-tenant QA data matrix and current Docker test environment.</x:v>
      </x:c>
      <x:c r="L21" s="47" t="str">
        <x:v>Agency A/B, representative role accounts, public/private records, valid/invalid tokens and deterministic timestamps.</x:v>
      </x:c>
      <x:c r="M2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1" s="47" t="str">
        <x:v>1. Reset/seed deterministic fixtures.
2. Capture initial database/API/UI state.
3. Execute: Execute the full high-value regression path: Stripe only gates SaaS subscription, never property transaction.
4. Inspect response, UI, database, logs and downstream modules.
5. Repeat with tenant/role/failure variation where stated.
6. Compare against the pass condition.</x:v>
      </x:c>
      <x:c r="O21" s="47" t="str">
        <x:v>The previously accepted current implementation behavior passes at API, database, UI and side-effect layers with no tenant leak or new regression.</x:v>
      </x:c>
      <x:c r="P21" s="47" t="str">
        <x:v>Only rows explicitly required by the workflow may change; tenant B and unrelated records remain identical. Verify counts, foreign keys, histories, timestamps and rollback.</x:v>
      </x:c>
      <x:c r="Q21" s="47" t="str">
        <x:v>Use actual endpoints named in the relevant feature sheet/guide. Verify 2xx success and 400/401/403/404/409/429/5xx recovery behavior as applicable.</x:v>
      </x:c>
      <x:c r="R21" s="47" t="str">
        <x:v>UI must reflect server truth after refresh, show safe errors, and expose no unauthorized data.</x:v>
      </x:c>
      <x:c r="S21" s="47" t="str">
        <x:v>Verify notifications, email, scheduler markers, audit/events and external provider calls separately.</x:v>
      </x:c>
      <x:c r="T21" s="47" t="str">
        <x:v>Core authentication, CRUD, permissions, workflows and integrations</x:v>
      </x:c>
      <x:c r="U21" s="47" t="str">
        <x:v>Retain evidence and restore mutable provider/test fixtures.</x:v>
      </x:c>
      <x:c r="V21" s="47" t="str"/>
      <x:c r="W21" s="53" t="str">
        <x:v>Not Run</x:v>
      </x:c>
      <x:c r="X21" s="53" t="str"/>
      <x:c r="Y21" s="53" t="str">
        <x:v>Yes</x:v>
      </x:c>
      <x:c r="Z21" s="47" t="str">
        <x:v>Current implementation unless explicitly labeled Requires clarification.</x:v>
      </x:c>
    </x:row>
    <x:row r="22" ht="78" customHeight="1">
      <x:c r="A22" s="50" t="str">
        <x:v>REG-018</x:v>
      </x:c>
      <x:c r="B22" s="47" t="str">
        <x:v>Regression Suite</x:v>
      </x:c>
      <x:c r="C22" s="47" t="str">
        <x:v>Regression Suite</x:v>
      </x:c>
      <x:c r="D22" s="47" t="str">
        <x:v>Super-admin-only suspension blocks internal/public access without deletion</x:v>
      </x:c>
      <x:c r="E22" s="47" t="str">
        <x:v>Execute the full high-value regression path: Super-admin-only suspension blocks internal/public access without deletion.</x:v>
      </x:c>
      <x:c r="F22" s="47" t="str">
        <x:v>Super-admin-only suspension blocks internal/public access without deletion</x:v>
      </x:c>
      <x:c r="G22" s="47" t="str">
        <x:v>Regression</x:v>
      </x:c>
      <x:c r="H22" s="53" t="str">
        <x:v>P0</x:v>
      </x:c>
      <x:c r="I22" s="53" t="str">
        <x:v>Critical</x:v>
      </x:c>
      <x:c r="J22" s="47" t="str">
        <x:v>Relevant role matrix</x:v>
      </x:c>
      <x:c r="K22" s="47" t="str">
        <x:v>Use the reusable two-tenant QA data matrix and current Docker test environment.</x:v>
      </x:c>
      <x:c r="L22" s="47" t="str">
        <x:v>Agency A/B, representative role accounts, public/private records, valid/invalid tokens and deterministic timestamps.</x:v>
      </x:c>
      <x:c r="M2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2" s="47" t="str">
        <x:v>1. Reset/seed deterministic fixtures.
2. Capture initial database/API/UI state.
3. Execute: Execute the full high-value regression path: Super-admin-only suspension blocks internal/public access without deletion.
4. Inspect response, UI, database, logs and downstream modules.
5. Repeat with tenant/role/failure variation where stated.
6. Compare against the pass condition.</x:v>
      </x:c>
      <x:c r="O22" s="47" t="str">
        <x:v>The previously accepted current implementation behavior passes at API, database, UI and side-effect layers with no tenant leak or new regression.</x:v>
      </x:c>
      <x:c r="P22" s="47" t="str">
        <x:v>Only rows explicitly required by the workflow may change; tenant B and unrelated records remain identical. Verify counts, foreign keys, histories, timestamps and rollback.</x:v>
      </x:c>
      <x:c r="Q22" s="47" t="str">
        <x:v>Use actual endpoints named in the relevant feature sheet/guide. Verify 2xx success and 400/401/403/404/409/429/5xx recovery behavior as applicable.</x:v>
      </x:c>
      <x:c r="R22" s="47" t="str">
        <x:v>UI must reflect server truth after refresh, show safe errors, and expose no unauthorized data.</x:v>
      </x:c>
      <x:c r="S22" s="47" t="str">
        <x:v>Verify notifications, email, scheduler markers, audit/events and external provider calls separately.</x:v>
      </x:c>
      <x:c r="T22" s="47" t="str">
        <x:v>Core authentication, CRUD, permissions, workflows and integrations</x:v>
      </x:c>
      <x:c r="U22" s="47" t="str">
        <x:v>Retain evidence and restore mutable provider/test fixtures.</x:v>
      </x:c>
      <x:c r="V22" s="47" t="str"/>
      <x:c r="W22" s="53" t="str">
        <x:v>Not Run</x:v>
      </x:c>
      <x:c r="X22" s="53" t="str"/>
      <x:c r="Y22" s="53" t="str">
        <x:v>Yes</x:v>
      </x:c>
      <x:c r="Z22" s="47" t="str">
        <x:v>Current implementation unless explicitly labeled Requires clarification.</x:v>
      </x:c>
    </x:row>
    <x:row r="23" ht="78" customHeight="1">
      <x:c r="A23" s="50" t="str">
        <x:v>REG-019</x:v>
      </x:c>
      <x:c r="B23" s="47" t="str">
        <x:v>Regression Suite</x:v>
      </x:c>
      <x:c r="C23" s="47" t="str">
        <x:v>Regression Suite</x:v>
      </x:c>
      <x:c r="D23" s="47" t="str">
        <x:v>Property media primary normalization and distribution assets</x:v>
      </x:c>
      <x:c r="E23" s="47" t="str">
        <x:v>Execute the full high-value regression path: Property media primary normalization and distribution assets.</x:v>
      </x:c>
      <x:c r="F23" s="47" t="str">
        <x:v>Property media primary normalization and distribution assets</x:v>
      </x:c>
      <x:c r="G23" s="47" t="str">
        <x:v>Regression</x:v>
      </x:c>
      <x:c r="H23" s="53" t="str">
        <x:v>P1</x:v>
      </x:c>
      <x:c r="I23" s="53" t="str">
        <x:v>High</x:v>
      </x:c>
      <x:c r="J23" s="47" t="str">
        <x:v>Relevant role matrix</x:v>
      </x:c>
      <x:c r="K23" s="47" t="str">
        <x:v>Use the reusable two-tenant QA data matrix and current Docker test environment.</x:v>
      </x:c>
      <x:c r="L23" s="47" t="str">
        <x:v>Agency A/B, representative role accounts, public/private records, valid/invalid tokens and deterministic timestamps.</x:v>
      </x:c>
      <x:c r="M2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3" s="47" t="str">
        <x:v>1. Reset/seed deterministic fixtures.
2. Capture initial database/API/UI state.
3. Execute: Execute the full high-value regression path: Property media primary normalization and distribution assets.
4. Inspect response, UI, database, logs and downstream modules.
5. Repeat with tenant/role/failure variation where stated.
6. Compare against the pass condition.</x:v>
      </x:c>
      <x:c r="O23" s="47" t="str">
        <x:v>The previously accepted current implementation behavior passes at API, database, UI and side-effect layers with no tenant leak or new regression.</x:v>
      </x:c>
      <x:c r="P23" s="47" t="str">
        <x:v>Only rows explicitly required by the workflow may change; tenant B and unrelated records remain identical. Verify counts, foreign keys, histories, timestamps and rollback.</x:v>
      </x:c>
      <x:c r="Q23" s="47" t="str">
        <x:v>Use actual endpoints named in the relevant feature sheet/guide. Verify 2xx success and 400/401/403/404/409/429/5xx recovery behavior as applicable.</x:v>
      </x:c>
      <x:c r="R23" s="47" t="str">
        <x:v>UI must reflect server truth after refresh, show safe errors, and expose no unauthorized data.</x:v>
      </x:c>
      <x:c r="S23" s="47" t="str">
        <x:v>Verify notifications, email, scheduler markers, audit/events and external provider calls separately.</x:v>
      </x:c>
      <x:c r="T23" s="47" t="str">
        <x:v>Core authentication, CRUD, permissions, workflows and integrations</x:v>
      </x:c>
      <x:c r="U23" s="47" t="str">
        <x:v>Retain evidence and restore mutable provider/test fixtures.</x:v>
      </x:c>
      <x:c r="V23" s="47" t="str"/>
      <x:c r="W23" s="53" t="str">
        <x:v>Not Run</x:v>
      </x:c>
      <x:c r="X23" s="53" t="str"/>
      <x:c r="Y23" s="53" t="str">
        <x:v>Yes</x:v>
      </x:c>
      <x:c r="Z23" s="47" t="str">
        <x:v>Current implementation unless explicitly labeled Requires clarification.</x:v>
      </x:c>
    </x:row>
    <x:row r="24" ht="78" customHeight="1">
      <x:c r="A24" s="50" t="str">
        <x:v>REG-020</x:v>
      </x:c>
      <x:c r="B24" s="47" t="str">
        <x:v>Regression Suite</x:v>
      </x:c>
      <x:c r="C24" s="47" t="str">
        <x:v>Regression Suite</x:v>
      </x:c>
      <x:c r="D24" s="47" t="str">
        <x:v>Short-link attribution reaches inquiry/site visit</x:v>
      </x:c>
      <x:c r="E24" s="47" t="str">
        <x:v>Execute the full high-value regression path: Short-link attribution reaches inquiry/site visit.</x:v>
      </x:c>
      <x:c r="F24" s="47" t="str">
        <x:v>Short-link attribution reaches inquiry/site visit</x:v>
      </x:c>
      <x:c r="G24" s="47" t="str">
        <x:v>Regression</x:v>
      </x:c>
      <x:c r="H24" s="53" t="str">
        <x:v>P1</x:v>
      </x:c>
      <x:c r="I24" s="53" t="str">
        <x:v>High</x:v>
      </x:c>
      <x:c r="J24" s="47" t="str">
        <x:v>Relevant role matrix</x:v>
      </x:c>
      <x:c r="K24" s="47" t="str">
        <x:v>Use the reusable two-tenant QA data matrix and current Docker test environment.</x:v>
      </x:c>
      <x:c r="L24" s="47" t="str">
        <x:v>Agency A/B, representative role accounts, public/private records, valid/invalid tokens and deterministic timestamps.</x:v>
      </x:c>
      <x:c r="M2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4" s="47" t="str">
        <x:v>1. Reset/seed deterministic fixtures.
2. Capture initial database/API/UI state.
3. Execute: Execute the full high-value regression path: Short-link attribution reaches inquiry/site visit.
4. Inspect response, UI, database, logs and downstream modules.
5. Repeat with tenant/role/failure variation where stated.
6. Compare against the pass condition.</x:v>
      </x:c>
      <x:c r="O24" s="47" t="str">
        <x:v>The previously accepted current implementation behavior passes at API, database, UI and side-effect layers with no tenant leak or new regression.</x:v>
      </x:c>
      <x:c r="P24" s="47" t="str">
        <x:v>Only rows explicitly required by the workflow may change; tenant B and unrelated records remain identical. Verify counts, foreign keys, histories, timestamps and rollback.</x:v>
      </x:c>
      <x:c r="Q24" s="47" t="str">
        <x:v>Use actual endpoints named in the relevant feature sheet/guide. Verify 2xx success and 400/401/403/404/409/429/5xx recovery behavior as applicable.</x:v>
      </x:c>
      <x:c r="R24" s="47" t="str">
        <x:v>UI must reflect server truth after refresh, show safe errors, and expose no unauthorized data.</x:v>
      </x:c>
      <x:c r="S24" s="47" t="str">
        <x:v>Verify notifications, email, scheduler markers, audit/events and external provider calls separately.</x:v>
      </x:c>
      <x:c r="T24" s="47" t="str">
        <x:v>Core authentication, CRUD, permissions, workflows and integrations</x:v>
      </x:c>
      <x:c r="U24" s="47" t="str">
        <x:v>Retain evidence and restore mutable provider/test fixtures.</x:v>
      </x:c>
      <x:c r="V24" s="47" t="str"/>
      <x:c r="W24" s="53" t="str">
        <x:v>Not Run</x:v>
      </x:c>
      <x:c r="X24" s="53" t="str"/>
      <x:c r="Y24" s="53" t="str">
        <x:v>Yes</x:v>
      </x:c>
      <x:c r="Z24" s="47" t="str">
        <x:v>Current implementation unless explicitly labeled Requires clarification.</x:v>
      </x:c>
    </x:row>
    <x:row r="25" ht="78" customHeight="1">
      <x:c r="A25" s="50" t="str">
        <x:v>REG-021</x:v>
      </x:c>
      <x:c r="B25" s="47" t="str">
        <x:v>Regression Suite</x:v>
      </x:c>
      <x:c r="C25" s="47" t="str">
        <x:v>Regression Suite</x:v>
      </x:c>
      <x:c r="D25" s="47" t="str">
        <x:v>Task/appointment assignment notifications</x:v>
      </x:c>
      <x:c r="E25" s="47" t="str">
        <x:v>Execute the full high-value regression path: Task/appointment assignment notifications.</x:v>
      </x:c>
      <x:c r="F25" s="47" t="str">
        <x:v>Task/appointment assignment notifications</x:v>
      </x:c>
      <x:c r="G25" s="47" t="str">
        <x:v>Regression</x:v>
      </x:c>
      <x:c r="H25" s="53" t="str">
        <x:v>P1</x:v>
      </x:c>
      <x:c r="I25" s="53" t="str">
        <x:v>High</x:v>
      </x:c>
      <x:c r="J25" s="47" t="str">
        <x:v>Relevant role matrix</x:v>
      </x:c>
      <x:c r="K25" s="47" t="str">
        <x:v>Use the reusable two-tenant QA data matrix and current Docker test environment.</x:v>
      </x:c>
      <x:c r="L25" s="47" t="str">
        <x:v>Agency A/B, representative role accounts, public/private records, valid/invalid tokens and deterministic timestamps.</x:v>
      </x:c>
      <x:c r="M2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5" s="47" t="str">
        <x:v>1. Reset/seed deterministic fixtures.
2. Capture initial database/API/UI state.
3. Execute: Execute the full high-value regression path: Task/appointment assignment notifications.
4. Inspect response, UI, database, logs and downstream modules.
5. Repeat with tenant/role/failure variation where stated.
6. Compare against the pass condition.</x:v>
      </x:c>
      <x:c r="O25" s="47" t="str">
        <x:v>The previously accepted current implementation behavior passes at API, database, UI and side-effect layers with no tenant leak or new regression.</x:v>
      </x:c>
      <x:c r="P25" s="47" t="str">
        <x:v>Only rows explicitly required by the workflow may change; tenant B and unrelated records remain identical. Verify counts, foreign keys, histories, timestamps and rollback.</x:v>
      </x:c>
      <x:c r="Q25" s="47" t="str">
        <x:v>Use actual endpoints named in the relevant feature sheet/guide. Verify 2xx success and 400/401/403/404/409/429/5xx recovery behavior as applicable.</x:v>
      </x:c>
      <x:c r="R25" s="47" t="str">
        <x:v>UI must reflect server truth after refresh, show safe errors, and expose no unauthorized data.</x:v>
      </x:c>
      <x:c r="S25" s="47" t="str">
        <x:v>Verify notifications, email, scheduler markers, audit/events and external provider calls separately.</x:v>
      </x:c>
      <x:c r="T25" s="47" t="str">
        <x:v>Core authentication, CRUD, permissions, workflows and integrations</x:v>
      </x:c>
      <x:c r="U25" s="47" t="str">
        <x:v>Retain evidence and restore mutable provider/test fixtures.</x:v>
      </x:c>
      <x:c r="V25" s="47" t="str"/>
      <x:c r="W25" s="53" t="str">
        <x:v>Not Run</x:v>
      </x:c>
      <x:c r="X25" s="53" t="str"/>
      <x:c r="Y25" s="53" t="str">
        <x:v>Yes</x:v>
      </x:c>
      <x:c r="Z25" s="47" t="str">
        <x:v>Current implementation unless explicitly labeled Requires clarification.</x:v>
      </x:c>
    </x:row>
    <x:row r="26" ht="78" customHeight="1">
      <x:c r="A26" s="50" t="str">
        <x:v>REG-022</x:v>
      </x:c>
      <x:c r="B26" s="47" t="str">
        <x:v>Regression Suite</x:v>
      </x:c>
      <x:c r="C26" s="47" t="str">
        <x:v>Regression Suite</x:v>
      </x:c>
      <x:c r="D26" s="47" t="str">
        <x:v>Saved-search alert and reminder jobs are idempotent</x:v>
      </x:c>
      <x:c r="E26" s="47" t="str">
        <x:v>Execute the full high-value regression path: Saved-search alert and reminder jobs are idempotent.</x:v>
      </x:c>
      <x:c r="F26" s="47" t="str">
        <x:v>Saved-search alert and reminder jobs are idempotent</x:v>
      </x:c>
      <x:c r="G26" s="47" t="str">
        <x:v>Regression</x:v>
      </x:c>
      <x:c r="H26" s="53" t="str">
        <x:v>P1</x:v>
      </x:c>
      <x:c r="I26" s="53" t="str">
        <x:v>High</x:v>
      </x:c>
      <x:c r="J26" s="47" t="str">
        <x:v>Relevant role matrix</x:v>
      </x:c>
      <x:c r="K26" s="47" t="str">
        <x:v>Use the reusable two-tenant QA data matrix and current Docker test environment.</x:v>
      </x:c>
      <x:c r="L26" s="47" t="str">
        <x:v>Agency A/B, representative role accounts, public/private records, valid/invalid tokens and deterministic timestamps.</x:v>
      </x:c>
      <x:c r="M2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6" s="47" t="str">
        <x:v>1. Reset/seed deterministic fixtures.
2. Capture initial database/API/UI state.
3. Execute: Execute the full high-value regression path: Saved-search alert and reminder jobs are idempotent.
4. Inspect response, UI, database, logs and downstream modules.
5. Repeat with tenant/role/failure variation where stated.
6. Compare against the pass condition.</x:v>
      </x:c>
      <x:c r="O26" s="47" t="str">
        <x:v>Only public match is included and one alert is sent for the window.</x:v>
      </x:c>
      <x:c r="P26" s="47" t="str">
        <x:v>Only rows explicitly required by the workflow may change; tenant B and unrelated records remain identical. Verify counts, foreign keys, histories, timestamps and rollback.</x:v>
      </x:c>
      <x:c r="Q26" s="47" t="str">
        <x:v>Use actual endpoints named in the relevant feature sheet/guide. Verify 2xx success and 400/401/403/404/409/429/5xx recovery behavior as applicable.</x:v>
      </x:c>
      <x:c r="R26" s="47" t="str">
        <x:v>UI must reflect server truth after refresh, show safe errors, and expose no unauthorized data.</x:v>
      </x:c>
      <x:c r="S26" s="47" t="str">
        <x:v>Verify notifications, email, scheduler markers, audit/events and external provider calls separately.</x:v>
      </x:c>
      <x:c r="T26" s="47" t="str">
        <x:v>Core authentication, CRUD, permissions, workflows and integrations</x:v>
      </x:c>
      <x:c r="U26" s="47" t="str">
        <x:v>Retain evidence and restore mutable provider/test fixtures.</x:v>
      </x:c>
      <x:c r="V26" s="47" t="str"/>
      <x:c r="W26" s="53" t="str">
        <x:v>Not Run</x:v>
      </x:c>
      <x:c r="X26" s="53" t="str"/>
      <x:c r="Y26" s="53" t="str">
        <x:v>Yes</x:v>
      </x:c>
      <x:c r="Z26" s="47" t="str">
        <x:v>Current implementation unless explicitly labeled Requires clarification.</x:v>
      </x:c>
    </x:row>
    <x:row r="27" ht="78" customHeight="1">
      <x:c r="A27" s="50" t="str">
        <x:v>REG-023</x:v>
      </x:c>
      <x:c r="B27" s="47" t="str">
        <x:v>Regression Suite</x:v>
      </x:c>
      <x:c r="C27" s="47" t="str">
        <x:v>Regression Suite</x:v>
      </x:c>
      <x:c r="D27" s="47" t="str">
        <x:v>Social partial-failure retry skips successful target</x:v>
      </x:c>
      <x:c r="E27" s="47" t="str">
        <x:v>Execute the full high-value regression path: Social partial-failure retry skips successful target.</x:v>
      </x:c>
      <x:c r="F27" s="47" t="str">
        <x:v>Social partial-failure retry skips successful target</x:v>
      </x:c>
      <x:c r="G27" s="47" t="str">
        <x:v>Regression</x:v>
      </x:c>
      <x:c r="H27" s="53" t="str">
        <x:v>P1</x:v>
      </x:c>
      <x:c r="I27" s="53" t="str">
        <x:v>High</x:v>
      </x:c>
      <x:c r="J27" s="47" t="str">
        <x:v>Relevant role matrix</x:v>
      </x:c>
      <x:c r="K27" s="47" t="str">
        <x:v>Use the reusable two-tenant QA data matrix and current Docker test environment.</x:v>
      </x:c>
      <x:c r="L27" s="47" t="str">
        <x:v>Agency A/B, representative role accounts, public/private records, valid/invalid tokens and deterministic timestamps.</x:v>
      </x:c>
      <x:c r="M2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7" s="47" t="str">
        <x:v>1. Reset/seed deterministic fixtures.
2. Capture initial database/API/UI state.
3. Execute: Execute the full high-value regression path: Social partial-failure retry skips successful target.
4. Inspect response, UI, database, logs and downstream modules.
5. Repeat with tenant/role/failure variation where stated.
6. Compare against the pass condition.</x:v>
      </x:c>
      <x:c r="O27" s="47" t="str">
        <x:v>The previously accepted current implementation behavior passes at API, database, UI and side-effect layers with no tenant leak or new regression.</x:v>
      </x:c>
      <x:c r="P27" s="47" t="str">
        <x:v>Only rows explicitly required by the workflow may change; tenant B and unrelated records remain identical. Verify counts, foreign keys, histories, timestamps and rollback.</x:v>
      </x:c>
      <x:c r="Q27" s="47" t="str">
        <x:v>Use actual endpoints named in the relevant feature sheet/guide. Verify 2xx success and 400/401/403/404/409/429/5xx recovery behavior as applicable.</x:v>
      </x:c>
      <x:c r="R27" s="47" t="str">
        <x:v>UI must reflect server truth after refresh, show safe errors, and expose no unauthorized data.</x:v>
      </x:c>
      <x:c r="S27" s="47" t="str">
        <x:v>Verify notifications, email, scheduler markers, audit/events and external provider calls separately.</x:v>
      </x:c>
      <x:c r="T27" s="47" t="str">
        <x:v>Core authentication, CRUD, permissions, workflows and integrations</x:v>
      </x:c>
      <x:c r="U27" s="47" t="str">
        <x:v>Retain evidence and restore mutable provider/test fixtures.</x:v>
      </x:c>
      <x:c r="V27" s="47" t="str"/>
      <x:c r="W27" s="53" t="str">
        <x:v>Not Run</x:v>
      </x:c>
      <x:c r="X27" s="53" t="str"/>
      <x:c r="Y27" s="53" t="str">
        <x:v>Yes</x:v>
      </x:c>
      <x:c r="Z27" s="47" t="str">
        <x:v>Current implementation unless explicitly labeled Requires clarification.</x:v>
      </x:c>
    </x:row>
    <x:row r="28" ht="78" customHeight="1">
      <x:c r="A28" s="50" t="str">
        <x:v>REG-024</x:v>
      </x:c>
      <x:c r="B28" s="47" t="str">
        <x:v>Regression Suite</x:v>
      </x:c>
      <x:c r="C28" s="47" t="str">
        <x:v>Regression Suite</x:v>
      </x:c>
      <x:c r="D28" s="47" t="str">
        <x:v>Reports/matching/compare remain tenant scoped</x:v>
      </x:c>
      <x:c r="E28" s="47" t="str">
        <x:v>Execute the full high-value regression path: Reports/matching/compare remain tenant scoped.</x:v>
      </x:c>
      <x:c r="F28" s="47" t="str">
        <x:v>Reports/matching/compare remain tenant scoped</x:v>
      </x:c>
      <x:c r="G28" s="47" t="str">
        <x:v>Regression</x:v>
      </x:c>
      <x:c r="H28" s="53" t="str">
        <x:v>P1</x:v>
      </x:c>
      <x:c r="I28" s="53" t="str">
        <x:v>High</x:v>
      </x:c>
      <x:c r="J28" s="47" t="str">
        <x:v>Relevant role matrix</x:v>
      </x:c>
      <x:c r="K28" s="47" t="str">
        <x:v>Use the reusable two-tenant QA data matrix and current Docker test environment.</x:v>
      </x:c>
      <x:c r="L28" s="47" t="str">
        <x:v>Agency A/B, representative role accounts, public/private records, valid/invalid tokens and deterministic timestamps.</x:v>
      </x:c>
      <x:c r="M2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8" s="47" t="str">
        <x:v>1. Reset/seed deterministic fixtures.
2. Capture initial database/API/UI state.
3. Execute: Execute the full high-value regression path: Reports/matching/compare remain tenant scoped.
4. Inspect response, UI, database, logs and downstream modules.
5. Repeat with tenant/role/failure variation where stated.
6. Compare against the pass condition.</x:v>
      </x:c>
      <x:c r="O28" s="47" t="str">
        <x:v>The previously accepted current implementation behavior passes at API, database, UI and side-effect layers with no tenant leak or new regression.</x:v>
      </x:c>
      <x:c r="P28" s="47" t="str">
        <x:v>Only rows explicitly required by the workflow may change; tenant B and unrelated records remain identical. Verify counts, foreign keys, histories, timestamps and rollback.</x:v>
      </x:c>
      <x:c r="Q28" s="47" t="str">
        <x:v>Use actual endpoints named in the relevant feature sheet/guide. Verify 2xx success and 400/401/403/404/409/429/5xx recovery behavior as applicable.</x:v>
      </x:c>
      <x:c r="R28" s="47" t="str">
        <x:v>UI must reflect server truth after refresh, show safe errors, and expose no unauthorized data.</x:v>
      </x:c>
      <x:c r="S28" s="47" t="str">
        <x:v>Verify notifications, email, scheduler markers, audit/events and external provider calls separately.</x:v>
      </x:c>
      <x:c r="T28" s="47" t="str">
        <x:v>Core authentication, CRUD, permissions, workflows and integrations</x:v>
      </x:c>
      <x:c r="U28" s="47" t="str">
        <x:v>Retain evidence and restore mutable provider/test fixtures.</x:v>
      </x:c>
      <x:c r="V28" s="47" t="str"/>
      <x:c r="W28" s="53" t="str">
        <x:v>Not Run</x:v>
      </x:c>
      <x:c r="X28" s="53" t="str"/>
      <x:c r="Y28" s="53" t="str">
        <x:v>Yes</x:v>
      </x:c>
      <x:c r="Z28" s="47" t="str">
        <x:v>Current implementation unless explicitly labeled Requires clarification.</x:v>
      </x:c>
    </x:row>
    <x:row r="29" ht="78" customHeight="1">
      <x:c r="A29" s="50" t="str">
        <x:v>REG-025</x:v>
      </x:c>
      <x:c r="B29" s="47" t="str">
        <x:v>Regression Suite</x:v>
      </x:c>
      <x:c r="C29" s="47" t="str">
        <x:v>Regression Suite</x:v>
      </x:c>
      <x:c r="D29" s="47" t="str">
        <x:v>Localization switch preserves canonical business data</x:v>
      </x:c>
      <x:c r="E29" s="47" t="str">
        <x:v>Execute the full high-value regression path: Localization switch preserves canonical business data.</x:v>
      </x:c>
      <x:c r="F29" s="47" t="str">
        <x:v>Localization switch preserves canonical business data</x:v>
      </x:c>
      <x:c r="G29" s="47" t="str">
        <x:v>Regression</x:v>
      </x:c>
      <x:c r="H29" s="53" t="str">
        <x:v>P1</x:v>
      </x:c>
      <x:c r="I29" s="53" t="str">
        <x:v>High</x:v>
      </x:c>
      <x:c r="J29" s="47" t="str">
        <x:v>Relevant role matrix</x:v>
      </x:c>
      <x:c r="K29" s="47" t="str">
        <x:v>Use the reusable two-tenant QA data matrix and current Docker test environment.</x:v>
      </x:c>
      <x:c r="L29" s="47" t="str">
        <x:v>Agency A/B, representative role accounts, public/private records, valid/invalid tokens and deterministic timestamps.</x:v>
      </x:c>
      <x:c r="M2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29" s="47" t="str">
        <x:v>1. Reset/seed deterministic fixtures.
2. Capture initial database/API/UI state.
3. Execute: Execute the full high-value regression path: Localization switch preserves canonical business data.
4. Inspect response, UI, database, logs and downstream modules.
5. Repeat with tenant/role/failure variation where stated.
6. Compare against the pass condition.</x:v>
      </x:c>
      <x:c r="O29" s="47" t="str">
        <x:v>The previously accepted current implementation behavior passes at API, database, UI and side-effect layers with no tenant leak or new regression.</x:v>
      </x:c>
      <x:c r="P29" s="47" t="str">
        <x:v>Only rows explicitly required by the workflow may change; tenant B and unrelated records remain identical. Verify counts, foreign keys, histories, timestamps and rollback.</x:v>
      </x:c>
      <x:c r="Q29" s="47" t="str">
        <x:v>Use actual endpoints named in the relevant feature sheet/guide. Verify 2xx success and 400/401/403/404/409/429/5xx recovery behavior as applicable.</x:v>
      </x:c>
      <x:c r="R29" s="47" t="str">
        <x:v>UI must reflect server truth after refresh, show safe errors, and expose no unauthorized data.</x:v>
      </x:c>
      <x:c r="S29" s="47" t="str">
        <x:v>Verify notifications, email, scheduler markers, audit/events and external provider calls separately.</x:v>
      </x:c>
      <x:c r="T29" s="47" t="str">
        <x:v>Core authentication, CRUD, permissions, workflows and integrations</x:v>
      </x:c>
      <x:c r="U29" s="47" t="str">
        <x:v>Retain evidence and restore mutable provider/test fixtures.</x:v>
      </x:c>
      <x:c r="V29" s="47" t="str"/>
      <x:c r="W29" s="53" t="str">
        <x:v>Not Run</x:v>
      </x:c>
      <x:c r="X29" s="53" t="str"/>
      <x:c r="Y29" s="53" t="str">
        <x:v>Yes</x:v>
      </x:c>
      <x:c r="Z29" s="47" t="str">
        <x:v>Current implementation unless explicitly labeled Requires clarification.</x:v>
      </x:c>
    </x:row>
    <x:row r="30" ht="78" customHeight="1">
      <x:c r="A30" s="50" t="str">
        <x:v>REG-026</x:v>
      </x:c>
      <x:c r="B30" s="47" t="str">
        <x:v>Regression Suite</x:v>
      </x:c>
      <x:c r="C30" s="47" t="str">
        <x:v>Regression Suite</x:v>
      </x:c>
      <x:c r="D30" s="47" t="str">
        <x:v>Website submission and review moderation</x:v>
      </x:c>
      <x:c r="E30" s="47" t="str">
        <x:v>Execute the full high-value regression path: Website submission and review moderation.</x:v>
      </x:c>
      <x:c r="F30" s="47" t="str">
        <x:v>Website submission and review moderation</x:v>
      </x:c>
      <x:c r="G30" s="47" t="str">
        <x:v>Regression</x:v>
      </x:c>
      <x:c r="H30" s="53" t="str">
        <x:v>P2</x:v>
      </x:c>
      <x:c r="I30" s="53" t="str">
        <x:v>Medium</x:v>
      </x:c>
      <x:c r="J30" s="47" t="str">
        <x:v>Relevant role matrix</x:v>
      </x:c>
      <x:c r="K30" s="47" t="str">
        <x:v>Use the reusable two-tenant QA data matrix and current Docker test environment.</x:v>
      </x:c>
      <x:c r="L30" s="47" t="str">
        <x:v>Agency A/B, representative role accounts, public/private records, valid/invalid tokens and deterministic timestamps.</x:v>
      </x:c>
      <x:c r="M3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30" s="47" t="str">
        <x:v>1. Reset/seed deterministic fixtures.
2. Capture initial database/API/UI state.
3. Execute: Execute the full high-value regression path: Website submission and review moderation.
4. Inspect response, UI, database, logs and downstream modules.
5. Repeat with tenant/role/failure variation where stated.
6. Compare against the pass condition.</x:v>
      </x:c>
      <x:c r="O30" s="47" t="str">
        <x:v>The previously accepted current implementation behavior passes at API, database, UI and side-effect layers with no tenant leak or new regression.</x:v>
      </x:c>
      <x:c r="P30" s="47" t="str">
        <x:v>Only rows explicitly required by the workflow may change; tenant B and unrelated records remain identical. Verify counts, foreign keys, histories, timestamps and rollback.</x:v>
      </x:c>
      <x:c r="Q30" s="47" t="str">
        <x:v>Use actual endpoints named in the relevant feature sheet/guide. Verify 2xx success and 400/401/403/404/409/429/5xx recovery behavior as applicable.</x:v>
      </x:c>
      <x:c r="R30" s="47" t="str">
        <x:v>UI must reflect server truth after refresh, show safe errors, and expose no unauthorized data.</x:v>
      </x:c>
      <x:c r="S30" s="47" t="str">
        <x:v>Verify notifications, email, scheduler markers, audit/events and external provider calls separately.</x:v>
      </x:c>
      <x:c r="T30" s="47" t="str">
        <x:v>Core authentication, CRUD, permissions, workflows and integrations</x:v>
      </x:c>
      <x:c r="U30" s="47" t="str">
        <x:v>Retain evidence and restore mutable provider/test fixtures.</x:v>
      </x:c>
      <x:c r="V30" s="47" t="str"/>
      <x:c r="W30" s="53" t="str">
        <x:v>Not Run</x:v>
      </x:c>
      <x:c r="X30" s="53" t="str"/>
      <x:c r="Y30" s="53" t="str">
        <x:v>Yes</x:v>
      </x:c>
      <x:c r="Z30" s="47" t="str">
        <x:v>Current implementation unless explicitly labeled Requires clarification.</x:v>
      </x:c>
    </x:row>
    <x:row r="31" ht="78" customHeight="1">
      <x:c r="A31" s="50" t="str">
        <x:v>REG-027</x:v>
      </x:c>
      <x:c r="B31" s="47" t="str">
        <x:v>Regression Suite</x:v>
      </x:c>
      <x:c r="C31" s="47" t="str">
        <x:v>Regression Suite</x:v>
      </x:c>
      <x:c r="D31" s="47" t="str">
        <x:v>Contact import idempotency and owner relationships</x:v>
      </x:c>
      <x:c r="E31" s="47" t="str">
        <x:v>Execute the full high-value regression path: Contact import idempotency and owner relationships.</x:v>
      </x:c>
      <x:c r="F31" s="47" t="str">
        <x:v>Contact import idempotency and owner relationships</x:v>
      </x:c>
      <x:c r="G31" s="47" t="str">
        <x:v>Regression</x:v>
      </x:c>
      <x:c r="H31" s="53" t="str">
        <x:v>P2</x:v>
      </x:c>
      <x:c r="I31" s="53" t="str">
        <x:v>Medium</x:v>
      </x:c>
      <x:c r="J31" s="47" t="str">
        <x:v>Relevant role matrix</x:v>
      </x:c>
      <x:c r="K31" s="47" t="str">
        <x:v>Use the reusable two-tenant QA data matrix and current Docker test environment.</x:v>
      </x:c>
      <x:c r="L31" s="47" t="str">
        <x:v>Agency A/B, representative role accounts, public/private records, valid/invalid tokens and deterministic timestamps.</x:v>
      </x:c>
      <x:c r="M3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31" s="47" t="str">
        <x:v>1. Reset/seed deterministic fixtures.
2. Capture initial database/API/UI state.
3. Execute: Execute the full high-value regression path: Contact import idempotency and owner relationships.
4. Inspect response, UI, database, logs and downstream modules.
5. Repeat with tenant/role/failure variation where stated.
6. Compare against the pass condition.</x:v>
      </x:c>
      <x:c r="O31" s="47" t="str">
        <x:v>The previously accepted current implementation behavior passes at API, database, UI and side-effect layers with no tenant leak or new regression.</x:v>
      </x:c>
      <x:c r="P31" s="47" t="str">
        <x:v>Only rows explicitly required by the workflow may change; tenant B and unrelated records remain identical. Verify counts, foreign keys, histories, timestamps and rollback.</x:v>
      </x:c>
      <x:c r="Q31" s="47" t="str">
        <x:v>Use actual endpoints named in the relevant feature sheet/guide. Verify 2xx success and 400/401/403/404/409/429/5xx recovery behavior as applicable.</x:v>
      </x:c>
      <x:c r="R31" s="47" t="str">
        <x:v>UI must reflect server truth after refresh, show safe errors, and expose no unauthorized data.</x:v>
      </x:c>
      <x:c r="S31" s="47" t="str">
        <x:v>Verify notifications, email, scheduler markers, audit/events and external provider calls separately.</x:v>
      </x:c>
      <x:c r="T31" s="47" t="str">
        <x:v>Core authentication, CRUD, permissions, workflows and integrations</x:v>
      </x:c>
      <x:c r="U31" s="47" t="str">
        <x:v>Retain evidence and restore mutable provider/test fixtures.</x:v>
      </x:c>
      <x:c r="V31" s="47" t="str"/>
      <x:c r="W31" s="53" t="str">
        <x:v>Not Run</x:v>
      </x:c>
      <x:c r="X31" s="53" t="str"/>
      <x:c r="Y31" s="53" t="str">
        <x:v>Yes</x:v>
      </x:c>
      <x:c r="Z31" s="47" t="str">
        <x:v>Current implementation unless explicitly labeled Requires clarification.</x:v>
      </x:c>
    </x:row>
    <x:row r="32" ht="78" customHeight="1">
      <x:c r="A32" s="51" t="str">
        <x:v>REG-028</x:v>
      </x:c>
      <x:c r="B32" s="48" t="str">
        <x:v>Regression Suite</x:v>
      </x:c>
      <x:c r="C32" s="48" t="str">
        <x:v>Regression Suite</x:v>
      </x:c>
      <x:c r="D32" s="48" t="str">
        <x:v>Lease/document operations have no payment side effects</x:v>
      </x:c>
      <x:c r="E32" s="48" t="str">
        <x:v>Execute the full high-value regression path: Lease/document operations have no payment side effects.</x:v>
      </x:c>
      <x:c r="F32" s="48" t="str">
        <x:v>Lease/document operations have no payment side effects</x:v>
      </x:c>
      <x:c r="G32" s="48" t="str">
        <x:v>Regression</x:v>
      </x:c>
      <x:c r="H32" s="54" t="str">
        <x:v>P2</x:v>
      </x:c>
      <x:c r="I32" s="54" t="str">
        <x:v>Medium</x:v>
      </x:c>
      <x:c r="J32" s="48" t="str">
        <x:v>Relevant role matrix</x:v>
      </x:c>
      <x:c r="K32" s="48" t="str">
        <x:v>Use the reusable two-tenant QA data matrix and current Docker test environment.</x:v>
      </x:c>
      <x:c r="L32" s="48" t="str">
        <x:v>Agency A/B, representative role accounts, public/private records, valid/invalid tokens and deterministic timestamps.</x:v>
      </x:c>
      <x:c r="M32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32" s="48" t="str">
        <x:v>1. Reset/seed deterministic fixtures.
2. Capture initial database/API/UI state.
3. Execute: Execute the full high-value regression path: Lease/document operations have no payment side effects.
4. Inspect response, UI, database, logs and downstream modules.
5. Repeat with tenant/role/failure variation where stated.
6. Compare against the pass condition.</x:v>
      </x:c>
      <x:c r="O32" s="48" t="str">
        <x:v>The previously accepted current implementation behavior passes at API, database, UI and side-effect layers with no tenant leak or new regression.</x:v>
      </x:c>
      <x:c r="P32" s="48" t="str">
        <x:v>Only rows explicitly required by the workflow may change; tenant B and unrelated records remain identical. Verify counts, foreign keys, histories, timestamps and rollback.</x:v>
      </x:c>
      <x:c r="Q32" s="48" t="str">
        <x:v>Use actual endpoints named in the relevant feature sheet/guide. Verify 2xx success and 400/401/403/404/409/429/5xx recovery behavior as applicable.</x:v>
      </x:c>
      <x:c r="R32" s="48" t="str">
        <x:v>UI must reflect server truth after refresh, show safe errors, and expose no unauthorized data.</x:v>
      </x:c>
      <x:c r="S32" s="48" t="str">
        <x:v>Verify notifications, email, scheduler markers, audit/events and external provider calls separately.</x:v>
      </x:c>
      <x:c r="T32" s="48" t="str">
        <x:v>Core authentication, CRUD, permissions, workflows and integrations</x:v>
      </x:c>
      <x:c r="U32" s="48" t="str">
        <x:v>Retain evidence and restore mutable provider/test fixtures.</x:v>
      </x:c>
      <x:c r="V32" s="48" t="str"/>
      <x:c r="W32" s="54" t="str">
        <x:v>Not Run</x:v>
      </x:c>
      <x:c r="X32" s="54" t="str"/>
      <x:c r="Y32" s="54" t="str">
        <x:v>Yes</x:v>
      </x:c>
      <x:c r="Z32" s="48" t="str">
        <x:v>Current implementation unless explicitly labeled Requires clarification.</x:v>
      </x:c>
    </x:row>
  </x:sheetData>
  <x:mergeCells>
    <x:mergeCell ref="A1:Z1"/>
    <x:mergeCell ref="A2:Z2"/>
  </x:mergeCells>
  <x:conditionalFormatting sqref="H5:H32">
    <x:cfRule type="expression" dxfId="232" priority="1">
      <x:formula>H5="P0"</x:formula>
    </x:cfRule>
    <x:cfRule type="expression" dxfId="233" priority="2">
      <x:formula>H5="P1"</x:formula>
    </x:cfRule>
    <x:cfRule type="expression" dxfId="234" priority="3">
      <x:formula>H5="P2"</x:formula>
    </x:cfRule>
    <x:cfRule type="expression" dxfId="235" priority="4">
      <x:formula>H5="P3"</x:formula>
    </x:cfRule>
  </x:conditionalFormatting>
  <x:conditionalFormatting sqref="W5:W32">
    <x:cfRule type="expression" dxfId="236" priority="5">
      <x:formula>W5="Passed"</x:formula>
    </x:cfRule>
    <x:cfRule type="expression" dxfId="237" priority="6">
      <x:formula>W5="Failed"</x:formula>
    </x:cfRule>
    <x:cfRule type="expression" dxfId="238" priority="7">
      <x:formula>W5="Blocked"</x:formula>
    </x:cfRule>
    <x:cfRule type="expression" dxfId="239" priority="8">
      <x:formula>W5="Skipped"</x:formula>
    </x:cfRule>
  </x:conditionalFormatting>
  <x:dataValidations count="4">
    <x:dataValidation type="list" sqref="H5:H32">
      <x:formula1>"P0,P1,P2,P3"</x:formula1>
    </x:dataValidation>
    <x:dataValidation type="list" sqref="I5:I32">
      <x:formula1>"Critical,High,Medium,Low"</x:formula1>
    </x:dataValidation>
    <x:dataValidation type="list" sqref="W5:W32">
      <x:formula1>"Not Run,Passed,Failed,Blocked,Skipped"</x:formula1>
    </x:dataValidation>
    <x:dataValidation type="list" sqref="Y5:Y32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2c434d0a974937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0" hidden="0" customWidth="1"/>
    <x:col min="5" max="5" width="48" hidden="0" customWidth="1"/>
    <x:col min="6" max="6" width="34" hidden="0" customWidth="1"/>
    <x:col min="7" max="7" width="20" hidden="0" customWidth="1"/>
    <x:col min="8" max="8" width="9" hidden="0" customWidth="1"/>
    <x:col min="9" max="9" width="10" hidden="0" customWidth="1"/>
    <x:col min="10" max="10" width="24" hidden="0" customWidth="1"/>
    <x:col min="11" max="11" width="46" hidden="0" customWidth="1"/>
    <x:col min="12" max="12" width="44" hidden="0" customWidth="1"/>
    <x:col min="13" max="13" width="44" hidden="0" customWidth="1"/>
    <x:col min="14" max="14" width="58" hidden="0" customWidth="1"/>
    <x:col min="15" max="15" width="50" hidden="0" customWidth="1"/>
    <x:col min="16" max="16" width="48" hidden="0" customWidth="1"/>
    <x:col min="17" max="17" width="50" hidden="0" customWidth="1"/>
    <x:col min="18" max="18" width="44" hidden="0" customWidth="1"/>
    <x:col min="19" max="19" width="46" hidden="0" customWidth="1"/>
    <x:col min="20" max="20" width="42" hidden="0" customWidth="1"/>
    <x:col min="21" max="21" width="42" hidden="0" customWidth="1"/>
    <x:col min="22" max="22" width="28" hidden="0" customWidth="1"/>
    <x:col min="23" max="23" width="12" hidden="0" customWidth="1"/>
    <x:col min="24" max="24" width="14" hidden="0" customWidth="1"/>
    <x:col min="25" max="25" width="14" hidden="0" customWidth="1"/>
    <x:col min="26" max="26" width="44" hidden="0" customWidth="1"/>
  </x:cols>
  <x:sheetData>
    <x:row r="1" ht="32" customHeight="1">
      <x:c r="A1" s="4" t="str">
        <x:v>Edge Cases and Concurrency - Master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8" t="str">
        <x:v>Current implementation baseline | 16 cases | Update Actual Result, Status and Bug / Issue ID during execution. Requires clarification items are called out in Notes or the testing guide.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4" ht="38" customHeight="1">
      <x:c r="A4" s="36" t="str">
        <x:v>Test Case ID</x:v>
      </x:c>
      <x:c r="B4" s="37" t="str">
        <x:v>Module</x:v>
      </x:c>
      <x:c r="C4" s="37" t="str">
        <x:v>Feature</x:v>
      </x:c>
      <x:c r="D4" s="37" t="str">
        <x:v>Sub Feature</x:v>
      </x:c>
      <x:c r="E4" s="37" t="str">
        <x:v>Test Scenario</x:v>
      </x:c>
      <x:c r="F4" s="37" t="str">
        <x:v>Test Case Title</x:v>
      </x:c>
      <x:c r="G4" s="37" t="str">
        <x:v>Test Type</x:v>
      </x:c>
      <x:c r="H4" s="37" t="str">
        <x:v>Priority</x:v>
      </x:c>
      <x:c r="I4" s="37" t="str">
        <x:v>Severity</x:v>
      </x:c>
      <x:c r="J4" s="37" t="str">
        <x:v>User Role</x:v>
      </x:c>
      <x:c r="K4" s="37" t="str">
        <x:v>Preconditions</x:v>
      </x:c>
      <x:c r="L4" s="37" t="str">
        <x:v>Required Test Data</x:v>
      </x:c>
      <x:c r="M4" s="37" t="str">
        <x:v>Environment / Setup</x:v>
      </x:c>
      <x:c r="N4" s="37" t="str">
        <x:v>Steps</x:v>
      </x:c>
      <x:c r="O4" s="37" t="str">
        <x:v>Expected Result</x:v>
      </x:c>
      <x:c r="P4" s="37" t="str">
        <x:v>Expected Database Impact</x:v>
      </x:c>
      <x:c r="Q4" s="37" t="str">
        <x:v>Expected API Behavior</x:v>
      </x:c>
      <x:c r="R4" s="37" t="str">
        <x:v>Expected UI Behavior</x:v>
      </x:c>
      <x:c r="S4" s="37" t="str">
        <x:v>Expected Side Effects</x:v>
      </x:c>
      <x:c r="T4" s="37" t="str">
        <x:v>Related Features</x:v>
      </x:c>
      <x:c r="U4" s="37" t="str">
        <x:v>Postconditions</x:v>
      </x:c>
      <x:c r="V4" s="37" t="str">
        <x:v>Actual Result</x:v>
      </x:c>
      <x:c r="W4" s="37" t="str">
        <x:v>Status</x:v>
      </x:c>
      <x:c r="X4" s="37" t="str">
        <x:v>Bug / Issue ID</x:v>
      </x:c>
      <x:c r="Y4" s="37" t="str">
        <x:v>Automation Candidate</x:v>
      </x:c>
      <x:c r="Z4" s="38" t="str">
        <x:v>Notes</x:v>
      </x:c>
    </x:row>
    <x:row r="5" ht="78" customHeight="1">
      <x:c r="A5" s="49" t="str">
        <x:v>EDGE-001</x:v>
      </x:c>
      <x:c r="B5" s="46" t="str">
        <x:v>Edge Cases and Concurrency</x:v>
      </x:c>
      <x:c r="C5" s="46" t="str">
        <x:v>Edge Cases and Concurrency</x:v>
      </x:c>
      <x:c r="D5" s="46" t="str">
        <x:v>Simultaneous JWT refresh requests</x:v>
      </x:c>
      <x:c r="E5" s="46" t="str">
        <x:v>Simultaneous JWT refresh requests</x:v>
      </x:c>
      <x:c r="F5" s="46" t="str">
        <x:v>Simultaneous JWT refresh requests</x:v>
      </x:c>
      <x:c r="G5" s="46" t="str">
        <x:v>Concurrency</x:v>
      </x:c>
      <x:c r="H5" s="52" t="str">
        <x:v>P0</x:v>
      </x:c>
      <x:c r="I5" s="52" t="str">
        <x:v>Critical</x:v>
      </x:c>
      <x:c r="J5" s="46" t="str">
        <x:v>Relevant concurrent/system roles</x:v>
      </x:c>
      <x:c r="K5" s="46" t="str">
        <x:v>Use the reusable two-tenant QA data matrix and current Docker test environment.</x:v>
      </x:c>
      <x:c r="L5" s="46" t="str">
        <x:v>Agency A/B, representative role accounts, public/private records, valid/invalid tokens and deterministic timestamps.</x:v>
      </x:c>
      <x:c r="M5" s="46" t="str">
        <x:v>Docker Compose: PostgreSQL 16, Django/Gunicorn API on :8000, scheduler loop, React/Vite agency UI, and Next.js storefront on :3000. Use browser DevTools, an API client, application logs, and read-only PostgreSQL access.</x:v>
      </x:c>
      <x:c r="N5" s="46" t="str">
        <x:v>1. Reset/seed deterministic fixtures.
2. Capture initial database/API/UI state.
3. Execute: Simultaneous JWT refresh requests
4. Inspect response, UI, database, logs and downstream modules.
5. Repeat with tenant/role/failure variation where stated.
6. Compare against the pass condition.</x:v>
      </x:c>
      <x:c r="O5" s="46" t="str">
        <x:v>One refresh request services concurrent 401 responses.</x:v>
      </x:c>
      <x:c r="P5" s="46" t="str">
        <x:v>Only rows explicitly required by the workflow may change; tenant B and unrelated records remain identical. Verify counts, foreign keys, histories, timestamps and rollback.</x:v>
      </x:c>
      <x:c r="Q5" s="46" t="str">
        <x:v>Use actual endpoints named in the relevant feature sheet/guide. Verify 2xx success and 400/401/403/404/409/429/5xx recovery behavior as applicable.</x:v>
      </x:c>
      <x:c r="R5" s="46" t="str">
        <x:v>UI must reflect server truth after refresh, show safe errors, and expose no unauthorized data.</x:v>
      </x:c>
      <x:c r="S5" s="46" t="str">
        <x:v>Verify notifications, email, scheduler markers, audit/events and external provider calls separately.</x:v>
      </x:c>
      <x:c r="T5" s="46" t="str">
        <x:v>Database transactions, scheduler, external providers</x:v>
      </x:c>
      <x:c r="U5" s="46" t="str">
        <x:v>Retain evidence and restore mutable provider/test fixtures.</x:v>
      </x:c>
      <x:c r="V5" s="46" t="str"/>
      <x:c r="W5" s="52" t="str">
        <x:v>Not Run</x:v>
      </x:c>
      <x:c r="X5" s="52" t="str"/>
      <x:c r="Y5" s="52" t="str">
        <x:v>Yes</x:v>
      </x:c>
      <x:c r="Z5" s="46" t="str">
        <x:v>Current implementation unless explicitly labeled Requires clarification.</x:v>
      </x:c>
    </x:row>
    <x:row r="6" ht="78" customHeight="1">
      <x:c r="A6" s="50" t="str">
        <x:v>EDGE-002</x:v>
      </x:c>
      <x:c r="B6" s="47" t="str">
        <x:v>Edge Cases and Concurrency</x:v>
      </x:c>
      <x:c r="C6" s="47" t="str">
        <x:v>Edge Cases and Concurrency</x:v>
      </x:c>
      <x:c r="D6" s="47" t="str">
        <x:v>Two managers update the same lead</x:v>
      </x:c>
      <x:c r="E6" s="47" t="str">
        <x:v>Two managers update the same lead</x:v>
      </x:c>
      <x:c r="F6" s="47" t="str">
        <x:v>Two managers update the same lead</x:v>
      </x:c>
      <x:c r="G6" s="47" t="str">
        <x:v>Concurrency</x:v>
      </x:c>
      <x:c r="H6" s="53" t="str">
        <x:v>P0</x:v>
      </x:c>
      <x:c r="I6" s="53" t="str">
        <x:v>Critical</x:v>
      </x:c>
      <x:c r="J6" s="47" t="str">
        <x:v>Relevant concurrent/system roles</x:v>
      </x:c>
      <x:c r="K6" s="47" t="str">
        <x:v>Use the reusable two-tenant QA data matrix and current Docker test environment.</x:v>
      </x:c>
      <x:c r="L6" s="47" t="str">
        <x:v>Agency A/B, representative role accounts, public/private records, valid/invalid tokens and deterministic timestamps.</x:v>
      </x:c>
      <x:c r="M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6" s="47" t="str">
        <x:v>1. Reset/seed deterministic fixtures.
2. Capture initial database/API/UI state.
3. Execute: Two managers update the same lead
4. Inspect response, UI, database, logs and downstream modules.
5. Repeat with tenant/role/failure variation where stated.
6. Compare against the pass condition.</x:v>
      </x:c>
      <x:c r="O6" s="47" t="str">
        <x:v>Final state is understood; no corrupt history or cross-tenant change; missing optimistic locking is documented.</x:v>
      </x:c>
      <x:c r="P6" s="47" t="str">
        <x:v>Only rows explicitly required by the workflow may change; tenant B and unrelated records remain identical. Verify counts, foreign keys, histories, timestamps and rollback.</x:v>
      </x:c>
      <x:c r="Q6" s="47" t="str">
        <x:v>Use actual endpoints named in the relevant feature sheet/guide. Verify 2xx success and 400/401/403/404/409/429/5xx recovery behavior as applicable.</x:v>
      </x:c>
      <x:c r="R6" s="47" t="str">
        <x:v>UI must reflect server truth after refresh, show safe errors, and expose no unauthorized data.</x:v>
      </x:c>
      <x:c r="S6" s="47" t="str">
        <x:v>Verify notifications, email, scheduler markers, audit/events and external provider calls separately.</x:v>
      </x:c>
      <x:c r="T6" s="47" t="str">
        <x:v>Database transactions, scheduler, external providers</x:v>
      </x:c>
      <x:c r="U6" s="47" t="str">
        <x:v>Retain evidence and restore mutable provider/test fixtures.</x:v>
      </x:c>
      <x:c r="V6" s="47" t="str"/>
      <x:c r="W6" s="53" t="str">
        <x:v>Not Run</x:v>
      </x:c>
      <x:c r="X6" s="53" t="str"/>
      <x:c r="Y6" s="53" t="str">
        <x:v>Yes</x:v>
      </x:c>
      <x:c r="Z6" s="47" t="str">
        <x:v>Current implementation unless explicitly labeled Requires clarification.</x:v>
      </x:c>
    </x:row>
    <x:row r="7" ht="78" customHeight="1">
      <x:c r="A7" s="50" t="str">
        <x:v>EDGE-003</x:v>
      </x:c>
      <x:c r="B7" s="47" t="str">
        <x:v>Edge Cases and Concurrency</x:v>
      </x:c>
      <x:c r="C7" s="47" t="str">
        <x:v>Edge Cases and Concurrency</x:v>
      </x:c>
      <x:c r="D7" s="47" t="str">
        <x:v>Two users accept/reject one offer</x:v>
      </x:c>
      <x:c r="E7" s="47" t="str">
        <x:v>Two users accept/reject one offer</x:v>
      </x:c>
      <x:c r="F7" s="47" t="str">
        <x:v>Two users accept/reject one offer</x:v>
      </x:c>
      <x:c r="G7" s="47" t="str">
        <x:v>Concurrency</x:v>
      </x:c>
      <x:c r="H7" s="53" t="str">
        <x:v>P0</x:v>
      </x:c>
      <x:c r="I7" s="53" t="str">
        <x:v>Critical</x:v>
      </x:c>
      <x:c r="J7" s="47" t="str">
        <x:v>Relevant concurrent/system roles</x:v>
      </x:c>
      <x:c r="K7" s="47" t="str">
        <x:v>Use the reusable two-tenant QA data matrix and current Docker test environment.</x:v>
      </x:c>
      <x:c r="L7" s="47" t="str">
        <x:v>Agency A/B, representative role accounts, public/private records, valid/invalid tokens and deterministic timestamps.</x:v>
      </x:c>
      <x:c r="M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7" s="47" t="str">
        <x:v>1. Reset/seed deterministic fixtures.
2. Capture initial database/API/UI state.
3. Execute: Two users accept/reject one offer
4. Inspect response, UI, database, logs and downstream modules.
5. Repeat with tenant/role/failure variation where stated.
6. Compare against the pass condition.</x:v>
      </x:c>
      <x:c r="O7" s="47" t="str">
        <x:v>Offer and deal final state remain logically consistent.</x:v>
      </x:c>
      <x:c r="P7" s="47" t="str">
        <x:v>Only rows explicitly required by the workflow may change; tenant B and unrelated records remain identical. Verify counts, foreign keys, histories, timestamps and rollback.</x:v>
      </x:c>
      <x:c r="Q7" s="47" t="str">
        <x:v>Use actual endpoints named in the relevant feature sheet/guide. Verify 2xx success and 400/401/403/404/409/429/5xx recovery behavior as applicable.</x:v>
      </x:c>
      <x:c r="R7" s="47" t="str">
        <x:v>UI must reflect server truth after refresh, show safe errors, and expose no unauthorized data.</x:v>
      </x:c>
      <x:c r="S7" s="47" t="str">
        <x:v>Verify notifications, email, scheduler markers, audit/events and external provider calls separately.</x:v>
      </x:c>
      <x:c r="T7" s="47" t="str">
        <x:v>Database transactions, scheduler, external providers</x:v>
      </x:c>
      <x:c r="U7" s="47" t="str">
        <x:v>Retain evidence and restore mutable provider/test fixtures.</x:v>
      </x:c>
      <x:c r="V7" s="47" t="str"/>
      <x:c r="W7" s="53" t="str">
        <x:v>Not Run</x:v>
      </x:c>
      <x:c r="X7" s="53" t="str"/>
      <x:c r="Y7" s="53" t="str">
        <x:v>Yes</x:v>
      </x:c>
      <x:c r="Z7" s="47" t="str">
        <x:v>Current implementation unless explicitly labeled Requires clarification.</x:v>
      </x:c>
    </x:row>
    <x:row r="8" ht="78" customHeight="1">
      <x:c r="A8" s="50" t="str">
        <x:v>EDGE-004</x:v>
      </x:c>
      <x:c r="B8" s="47" t="str">
        <x:v>Edge Cases and Concurrency</x:v>
      </x:c>
      <x:c r="C8" s="47" t="str">
        <x:v>Edge Cases and Concurrency</x:v>
      </x:c>
      <x:c r="D8" s="47" t="str">
        <x:v>Two automation workers assign one lead</x:v>
      </x:c>
      <x:c r="E8" s="47" t="str">
        <x:v>Two automation workers assign one lead</x:v>
      </x:c>
      <x:c r="F8" s="47" t="str">
        <x:v>Two automation workers assign one lead</x:v>
      </x:c>
      <x:c r="G8" s="47" t="str">
        <x:v>Concurrency</x:v>
      </x:c>
      <x:c r="H8" s="53" t="str">
        <x:v>P0</x:v>
      </x:c>
      <x:c r="I8" s="53" t="str">
        <x:v>Critical</x:v>
      </x:c>
      <x:c r="J8" s="47" t="str">
        <x:v>Relevant concurrent/system roles</x:v>
      </x:c>
      <x:c r="K8" s="47" t="str">
        <x:v>Use the reusable two-tenant QA data matrix and current Docker test environment.</x:v>
      </x:c>
      <x:c r="L8" s="47" t="str">
        <x:v>Agency A/B, representative role accounts, public/private records, valid/invalid tokens and deterministic timestamps.</x:v>
      </x:c>
      <x:c r="M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8" s="47" t="str">
        <x:v>1. Reset/seed deterministic fixtures.
2. Capture initial database/API/UI state.
3. Execute: Two automation workers assign one lead
4. Inspect response, UI, database, logs and downstream modules.
5. Repeat with tenant/role/failure variation where stated.
6. Compare against the pass condition.</x:v>
      </x:c>
      <x:c r="O8" s="47" t="str">
        <x:v>One effective assignee/SLA/notification event.</x:v>
      </x:c>
      <x:c r="P8" s="47" t="str">
        <x:v>Only rows explicitly required by the workflow may change; tenant B and unrelated records remain identical. Verify counts, foreign keys, histories, timestamps and rollback.</x:v>
      </x:c>
      <x:c r="Q8" s="47" t="str">
        <x:v>Use actual endpoints named in the relevant feature sheet/guide. Verify 2xx success and 400/401/403/404/409/429/5xx recovery behavior as applicable.</x:v>
      </x:c>
      <x:c r="R8" s="47" t="str">
        <x:v>UI must reflect server truth after refresh, show safe errors, and expose no unauthorized data.</x:v>
      </x:c>
      <x:c r="S8" s="47" t="str">
        <x:v>Verify notifications, email, scheduler markers, audit/events and external provider calls separately.</x:v>
      </x:c>
      <x:c r="T8" s="47" t="str">
        <x:v>Database transactions, scheduler, external providers</x:v>
      </x:c>
      <x:c r="U8" s="47" t="str">
        <x:v>Retain evidence and restore mutable provider/test fixtures.</x:v>
      </x:c>
      <x:c r="V8" s="47" t="str"/>
      <x:c r="W8" s="53" t="str">
        <x:v>Not Run</x:v>
      </x:c>
      <x:c r="X8" s="53" t="str"/>
      <x:c r="Y8" s="53" t="str">
        <x:v>Yes</x:v>
      </x:c>
      <x:c r="Z8" s="47" t="str">
        <x:v>Current implementation unless explicitly labeled Requires clarification.</x:v>
      </x:c>
    </x:row>
    <x:row r="9" ht="78" customHeight="1">
      <x:c r="A9" s="50" t="str">
        <x:v>EDGE-005</x:v>
      </x:c>
      <x:c r="B9" s="47" t="str">
        <x:v>Edge Cases and Concurrency</x:v>
      </x:c>
      <x:c r="C9" s="47" t="str">
        <x:v>Edge Cases and Concurrency</x:v>
      </x:c>
      <x:c r="D9" s="47" t="str">
        <x:v>Two scheduler cycles send same reminder</x:v>
      </x:c>
      <x:c r="E9" s="47" t="str">
        <x:v>Two scheduler cycles send same reminder</x:v>
      </x:c>
      <x:c r="F9" s="47" t="str">
        <x:v>Two scheduler cycles send same reminder</x:v>
      </x:c>
      <x:c r="G9" s="47" t="str">
        <x:v>Concurrency</x:v>
      </x:c>
      <x:c r="H9" s="53" t="str">
        <x:v>P0</x:v>
      </x:c>
      <x:c r="I9" s="53" t="str">
        <x:v>Critical</x:v>
      </x:c>
      <x:c r="J9" s="47" t="str">
        <x:v>Relevant concurrent/system roles</x:v>
      </x:c>
      <x:c r="K9" s="47" t="str">
        <x:v>Use the reusable two-tenant QA data matrix and current Docker test environment.</x:v>
      </x:c>
      <x:c r="L9" s="47" t="str">
        <x:v>Agency A/B, representative role accounts, public/private records, valid/invalid tokens and deterministic timestamps.</x:v>
      </x:c>
      <x:c r="M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9" s="47" t="str">
        <x:v>1. Reset/seed deterministic fixtures.
2. Capture initial database/API/UI state.
3. Execute: Two scheduler cycles send same reminder
4. Inspect response, UI, database, logs and downstream modules.
5. Repeat with tenant/role/failure variation where stated.
6. Compare against the pass condition.</x:v>
      </x:c>
      <x:c r="O9" s="47" t="str">
        <x:v>One logical reminder/email per window.</x:v>
      </x:c>
      <x:c r="P9" s="47" t="str">
        <x:v>Only rows explicitly required by the workflow may change; tenant B and unrelated records remain identical. Verify counts, foreign keys, histories, timestamps and rollback.</x:v>
      </x:c>
      <x:c r="Q9" s="47" t="str">
        <x:v>Use actual endpoints named in the relevant feature sheet/guide. Verify 2xx success and 400/401/403/404/409/429/5xx recovery behavior as applicable.</x:v>
      </x:c>
      <x:c r="R9" s="47" t="str">
        <x:v>UI must reflect server truth after refresh, show safe errors, and expose no unauthorized data.</x:v>
      </x:c>
      <x:c r="S9" s="47" t="str">
        <x:v>Verify notifications, email, scheduler markers, audit/events and external provider calls separately.</x:v>
      </x:c>
      <x:c r="T9" s="47" t="str">
        <x:v>Database transactions, scheduler, external providers</x:v>
      </x:c>
      <x:c r="U9" s="47" t="str">
        <x:v>Retain evidence and restore mutable provider/test fixtures.</x:v>
      </x:c>
      <x:c r="V9" s="47" t="str"/>
      <x:c r="W9" s="53" t="str">
        <x:v>Not Run</x:v>
      </x:c>
      <x:c r="X9" s="53" t="str"/>
      <x:c r="Y9" s="53" t="str">
        <x:v>Yes</x:v>
      </x:c>
      <x:c r="Z9" s="47" t="str">
        <x:v>Current implementation unless explicitly labeled Requires clarification.</x:v>
      </x:c>
    </x:row>
    <x:row r="10" ht="78" customHeight="1">
      <x:c r="A10" s="50" t="str">
        <x:v>EDGE-006</x:v>
      </x:c>
      <x:c r="B10" s="47" t="str">
        <x:v>Edge Cases and Concurrency</x:v>
      </x:c>
      <x:c r="C10" s="47" t="str">
        <x:v>Edge Cases and Concurrency</x:v>
      </x:c>
      <x:c r="D10" s="47" t="str">
        <x:v>Two customers request one appointment slot</x:v>
      </x:c>
      <x:c r="E10" s="47" t="str">
        <x:v>Two customers request one appointment slot</x:v>
      </x:c>
      <x:c r="F10" s="47" t="str">
        <x:v>Two customers request one appointment slot</x:v>
      </x:c>
      <x:c r="G10" s="47" t="str">
        <x:v>Concurrency</x:v>
      </x:c>
      <x:c r="H10" s="53" t="str">
        <x:v>P0</x:v>
      </x:c>
      <x:c r="I10" s="53" t="str">
        <x:v>Critical</x:v>
      </x:c>
      <x:c r="J10" s="47" t="str">
        <x:v>Relevant concurrent/system roles</x:v>
      </x:c>
      <x:c r="K10" s="47" t="str">
        <x:v>Use the reusable two-tenant QA data matrix and current Docker test environment.</x:v>
      </x:c>
      <x:c r="L10" s="47" t="str">
        <x:v>Agency A/B, representative role accounts, public/private records, valid/invalid tokens and deterministic timestamps.</x:v>
      </x:c>
      <x:c r="M10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0" s="47" t="str">
        <x:v>1. Reset/seed deterministic fixtures.
2. Capture initial database/API/UI state.
3. Execute: Two customers request one appointment slot
4. Inspect response, UI, database, logs and downstream modules.
5. Repeat with tenant/role/failure variation where stated.
6. Compare against the pass condition.</x:v>
      </x:c>
      <x:c r="O10" s="47" t="str">
        <x:v>Capture current duplicate-booking behavior; clarification required for exclusivity expectation.</x:v>
      </x:c>
      <x:c r="P10" s="47" t="str">
        <x:v>Only rows explicitly required by the workflow may change; tenant B and unrelated records remain identical. Verify counts, foreign keys, histories, timestamps and rollback.</x:v>
      </x:c>
      <x:c r="Q10" s="47" t="str">
        <x:v>Use actual endpoints named in the relevant feature sheet/guide. Verify 2xx success and 400/401/403/404/409/429/5xx recovery behavior as applicable.</x:v>
      </x:c>
      <x:c r="R10" s="47" t="str">
        <x:v>UI must reflect server truth after refresh, show safe errors, and expose no unauthorized data.</x:v>
      </x:c>
      <x:c r="S10" s="47" t="str">
        <x:v>Verify notifications, email, scheduler markers, audit/events and external provider calls separately.</x:v>
      </x:c>
      <x:c r="T10" s="47" t="str">
        <x:v>Database transactions, scheduler, external providers</x:v>
      </x:c>
      <x:c r="U10" s="47" t="str">
        <x:v>Retain evidence and restore mutable provider/test fixtures.</x:v>
      </x:c>
      <x:c r="V10" s="47" t="str"/>
      <x:c r="W10" s="53" t="str">
        <x:v>Not Run</x:v>
      </x:c>
      <x:c r="X10" s="53" t="str"/>
      <x:c r="Y10" s="53" t="str">
        <x:v>Yes</x:v>
      </x:c>
      <x:c r="Z10" s="47" t="str">
        <x:v>Current implementation unless explicitly labeled Requires clarification.</x:v>
      </x:c>
    </x:row>
    <x:row r="11" ht="78" customHeight="1">
      <x:c r="A11" s="50" t="str">
        <x:v>EDGE-007</x:v>
      </x:c>
      <x:c r="B11" s="47" t="str">
        <x:v>Edge Cases and Concurrency</x:v>
      </x:c>
      <x:c r="C11" s="47" t="str">
        <x:v>Edge Cases and Concurrency</x:v>
      </x:c>
      <x:c r="D11" s="47" t="str">
        <x:v>Unicode Nepali and mixed-script input</x:v>
      </x:c>
      <x:c r="E11" s="47" t="str">
        <x:v>Unicode Nepali and mixed-script input</x:v>
      </x:c>
      <x:c r="F11" s="47" t="str">
        <x:v>Unicode Nepali and mixed-script input</x:v>
      </x:c>
      <x:c r="G11" s="47" t="str">
        <x:v>Edge Case</x:v>
      </x:c>
      <x:c r="H11" s="53" t="str">
        <x:v>P1</x:v>
      </x:c>
      <x:c r="I11" s="53" t="str">
        <x:v>High</x:v>
      </x:c>
      <x:c r="J11" s="47" t="str">
        <x:v>Relevant concurrent/system roles</x:v>
      </x:c>
      <x:c r="K11" s="47" t="str">
        <x:v>Use the reusable two-tenant QA data matrix and current Docker test environment.</x:v>
      </x:c>
      <x:c r="L11" s="47" t="str">
        <x:v>Agency A/B, representative role accounts, public/private records, valid/invalid tokens and deterministic timestamps.</x:v>
      </x:c>
      <x:c r="M11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1" s="47" t="str">
        <x:v>1. Reset/seed deterministic fixtures.
2. Capture initial database/API/UI state.
3. Execute: Unicode Nepali and mixed-script input
4. Inspect response, UI, database, logs and downstream modules.
5. Repeat with tenant/role/failure variation where stated.
6. Compare against the pass condition.</x:v>
      </x:c>
      <x:c r="O11" s="47" t="str">
        <x:v>Valid Nepali text persists/searches/renders without mojibake or truncation.</x:v>
      </x:c>
      <x:c r="P11" s="47" t="str">
        <x:v>Only rows explicitly required by the workflow may change; tenant B and unrelated records remain identical. Verify counts, foreign keys, histories, timestamps and rollback.</x:v>
      </x:c>
      <x:c r="Q11" s="47" t="str">
        <x:v>Use actual endpoints named in the relevant feature sheet/guide. Verify 2xx success and 400/401/403/404/409/429/5xx recovery behavior as applicable.</x:v>
      </x:c>
      <x:c r="R11" s="47" t="str">
        <x:v>UI must reflect server truth after refresh, show safe errors, and expose no unauthorized data.</x:v>
      </x:c>
      <x:c r="S11" s="47" t="str">
        <x:v>Verify notifications, email, scheduler markers, audit/events and external provider calls separately.</x:v>
      </x:c>
      <x:c r="T11" s="47" t="str">
        <x:v>Database transactions, scheduler, external providers</x:v>
      </x:c>
      <x:c r="U11" s="47" t="str">
        <x:v>Retain evidence and restore mutable provider/test fixtures.</x:v>
      </x:c>
      <x:c r="V11" s="47" t="str"/>
      <x:c r="W11" s="53" t="str">
        <x:v>Not Run</x:v>
      </x:c>
      <x:c r="X11" s="53" t="str"/>
      <x:c r="Y11" s="53" t="str">
        <x:v>Yes</x:v>
      </x:c>
      <x:c r="Z11" s="47" t="str">
        <x:v>Current implementation unless explicitly labeled Requires clarification.</x:v>
      </x:c>
    </x:row>
    <x:row r="12" ht="78" customHeight="1">
      <x:c r="A12" s="50" t="str">
        <x:v>EDGE-008</x:v>
      </x:c>
      <x:c r="B12" s="47" t="str">
        <x:v>Edge Cases and Concurrency</x:v>
      </x:c>
      <x:c r="C12" s="47" t="str">
        <x:v>Edge Cases and Concurrency</x:v>
      </x:c>
      <x:c r="D12" s="47" t="str">
        <x:v>Whitespace and normalized phone/email duplicates</x:v>
      </x:c>
      <x:c r="E12" s="47" t="str">
        <x:v>Whitespace and normalized phone/email duplicates</x:v>
      </x:c>
      <x:c r="F12" s="47" t="str">
        <x:v>Whitespace and normalized phone/email duplicates</x:v>
      </x:c>
      <x:c r="G12" s="47" t="str">
        <x:v>Boundary</x:v>
      </x:c>
      <x:c r="H12" s="53" t="str">
        <x:v>P1</x:v>
      </x:c>
      <x:c r="I12" s="53" t="str">
        <x:v>High</x:v>
      </x:c>
      <x:c r="J12" s="47" t="str">
        <x:v>Relevant concurrent/system roles</x:v>
      </x:c>
      <x:c r="K12" s="47" t="str">
        <x:v>Use the reusable two-tenant QA data matrix and current Docker test environment.</x:v>
      </x:c>
      <x:c r="L12" s="47" t="str">
        <x:v>Agency A/B, representative role accounts, public/private records, valid/invalid tokens and deterministic timestamps.</x:v>
      </x:c>
      <x:c r="M12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2" s="47" t="str">
        <x:v>1. Reset/seed deterministic fixtures.
2. Capture initial database/API/UI state.
3. Execute: Whitespace and normalized phone/email duplicates
4. Inspect response, UI, database, logs and downstream modules.
5. Repeat with tenant/role/failure variation where stated.
6. Compare against the pass condition.</x:v>
      </x:c>
      <x:c r="O12" s="47" t="str">
        <x:v>Normalization deduplicates true same lead but never merges blank/different identities.</x:v>
      </x:c>
      <x:c r="P12" s="47" t="str">
        <x:v>Only rows explicitly required by the workflow may change; tenant B and unrelated records remain identical. Verify counts, foreign keys, histories, timestamps and rollback.</x:v>
      </x:c>
      <x:c r="Q12" s="47" t="str">
        <x:v>Use actual endpoints named in the relevant feature sheet/guide. Verify 2xx success and 400/401/403/404/409/429/5xx recovery behavior as applicable.</x:v>
      </x:c>
      <x:c r="R12" s="47" t="str">
        <x:v>UI must reflect server truth after refresh, show safe errors, and expose no unauthorized data.</x:v>
      </x:c>
      <x:c r="S12" s="47" t="str">
        <x:v>Verify notifications, email, scheduler markers, audit/events and external provider calls separately.</x:v>
      </x:c>
      <x:c r="T12" s="47" t="str">
        <x:v>Database transactions, scheduler, external providers</x:v>
      </x:c>
      <x:c r="U12" s="47" t="str">
        <x:v>Retain evidence and restore mutable provider/test fixtures.</x:v>
      </x:c>
      <x:c r="V12" s="47" t="str"/>
      <x:c r="W12" s="53" t="str">
        <x:v>Not Run</x:v>
      </x:c>
      <x:c r="X12" s="53" t="str"/>
      <x:c r="Y12" s="53" t="str">
        <x:v>Yes</x:v>
      </x:c>
      <x:c r="Z12" s="47" t="str">
        <x:v>Current implementation unless explicitly labeled Requires clarification.</x:v>
      </x:c>
    </x:row>
    <x:row r="13" ht="78" customHeight="1">
      <x:c r="A13" s="50" t="str">
        <x:v>EDGE-009</x:v>
      </x:c>
      <x:c r="B13" s="47" t="str">
        <x:v>Edge Cases and Concurrency</x:v>
      </x:c>
      <x:c r="C13" s="47" t="str">
        <x:v>Edge Cases and Concurrency</x:v>
      </x:c>
      <x:c r="D13" s="47" t="str">
        <x:v>Maximum field lengths</x:v>
      </x:c>
      <x:c r="E13" s="47" t="str">
        <x:v>Maximum field lengths</x:v>
      </x:c>
      <x:c r="F13" s="47" t="str">
        <x:v>Maximum field lengths</x:v>
      </x:c>
      <x:c r="G13" s="47" t="str">
        <x:v>Boundary</x:v>
      </x:c>
      <x:c r="H13" s="53" t="str">
        <x:v>P1</x:v>
      </x:c>
      <x:c r="I13" s="53" t="str">
        <x:v>High</x:v>
      </x:c>
      <x:c r="J13" s="47" t="str">
        <x:v>Relevant concurrent/system roles</x:v>
      </x:c>
      <x:c r="K13" s="47" t="str">
        <x:v>Use the reusable two-tenant QA data matrix and current Docker test environment.</x:v>
      </x:c>
      <x:c r="L13" s="47" t="str">
        <x:v>Agency A/B, representative role accounts, public/private records, valid/invalid tokens and deterministic timestamps.</x:v>
      </x:c>
      <x:c r="M13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3" s="47" t="str">
        <x:v>1. Reset/seed deterministic fixtures.
2. Capture initial database/API/UI state.
3. Execute: Maximum field lengths
4. Inspect response, UI, database, logs and downstream modules.
5. Repeat with tenant/role/failure variation where stated.
6. Compare against the pass condition.</x:v>
      </x:c>
      <x:c r="O13" s="47" t="str">
        <x:v>Test max_length-1, max_length and max_length+1 for names/titles/URLs/notes where model exposes limits.</x:v>
      </x:c>
      <x:c r="P13" s="47" t="str">
        <x:v>Only rows explicitly required by the workflow may change; tenant B and unrelated records remain identical. Verify counts, foreign keys, histories, timestamps and rollback.</x:v>
      </x:c>
      <x:c r="Q13" s="47" t="str">
        <x:v>Use actual endpoints named in the relevant feature sheet/guide. Verify 2xx success and 400/401/403/404/409/429/5xx recovery behavior as applicable.</x:v>
      </x:c>
      <x:c r="R13" s="47" t="str">
        <x:v>UI must reflect server truth after refresh, show safe errors, and expose no unauthorized data.</x:v>
      </x:c>
      <x:c r="S13" s="47" t="str">
        <x:v>Verify notifications, email, scheduler markers, audit/events and external provider calls separately.</x:v>
      </x:c>
      <x:c r="T13" s="47" t="str">
        <x:v>Database transactions, scheduler, external providers</x:v>
      </x:c>
      <x:c r="U13" s="47" t="str">
        <x:v>Retain evidence and restore mutable provider/test fixtures.</x:v>
      </x:c>
      <x:c r="V13" s="47" t="str"/>
      <x:c r="W13" s="53" t="str">
        <x:v>Not Run</x:v>
      </x:c>
      <x:c r="X13" s="53" t="str"/>
      <x:c r="Y13" s="53" t="str">
        <x:v>Yes</x:v>
      </x:c>
      <x:c r="Z13" s="47" t="str">
        <x:v>Current implementation unless explicitly labeled Requires clarification.</x:v>
      </x:c>
    </x:row>
    <x:row r="14" ht="78" customHeight="1">
      <x:c r="A14" s="50" t="str">
        <x:v>EDGE-010</x:v>
      </x:c>
      <x:c r="B14" s="47" t="str">
        <x:v>Edge Cases and Concurrency</x:v>
      </x:c>
      <x:c r="C14" s="47" t="str">
        <x:v>Edge Cases and Concurrency</x:v>
      </x:c>
      <x:c r="D14" s="47" t="str">
        <x:v>Decimal and area extremes</x:v>
      </x:c>
      <x:c r="E14" s="47" t="str">
        <x:v>Decimal and area extremes</x:v>
      </x:c>
      <x:c r="F14" s="47" t="str">
        <x:v>Decimal and area extremes</x:v>
      </x:c>
      <x:c r="G14" s="47" t="str">
        <x:v>Boundary</x:v>
      </x:c>
      <x:c r="H14" s="53" t="str">
        <x:v>P1</x:v>
      </x:c>
      <x:c r="I14" s="53" t="str">
        <x:v>High</x:v>
      </x:c>
      <x:c r="J14" s="47" t="str">
        <x:v>Relevant concurrent/system roles</x:v>
      </x:c>
      <x:c r="K14" s="47" t="str">
        <x:v>Use the reusable two-tenant QA data matrix and current Docker test environment.</x:v>
      </x:c>
      <x:c r="L14" s="47" t="str">
        <x:v>Agency A/B, representative role accounts, public/private records, valid/invalid tokens and deterministic timestamps.</x:v>
      </x:c>
      <x:c r="M14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4" s="47" t="str">
        <x:v>1. Reset/seed deterministic fixtures.
2. Capture initial database/API/UI state.
3. Execute: Decimal and area extremes
4. Inspect response, UI, database, logs and downstream modules.
5. Repeat with tenant/role/failure variation where stated.
6. Compare against the pass condition.</x:v>
      </x:c>
      <x:c r="O14" s="47" t="str">
        <x:v>Zero/negative/maximum precision values do not overflow, divide by zero or silently round beyond model precision.</x:v>
      </x:c>
      <x:c r="P14" s="47" t="str">
        <x:v>Only rows explicitly required by the workflow may change; tenant B and unrelated records remain identical. Verify counts, foreign keys, histories, timestamps and rollback.</x:v>
      </x:c>
      <x:c r="Q14" s="47" t="str">
        <x:v>Use actual endpoints named in the relevant feature sheet/guide. Verify 2xx success and 400/401/403/404/409/429/5xx recovery behavior as applicable.</x:v>
      </x:c>
      <x:c r="R14" s="47" t="str">
        <x:v>UI must reflect server truth after refresh, show safe errors, and expose no unauthorized data.</x:v>
      </x:c>
      <x:c r="S14" s="47" t="str">
        <x:v>Verify notifications, email, scheduler markers, audit/events and external provider calls separately.</x:v>
      </x:c>
      <x:c r="T14" s="47" t="str">
        <x:v>Database transactions, scheduler, external providers</x:v>
      </x:c>
      <x:c r="U14" s="47" t="str">
        <x:v>Retain evidence and restore mutable provider/test fixtures.</x:v>
      </x:c>
      <x:c r="V14" s="47" t="str"/>
      <x:c r="W14" s="53" t="str">
        <x:v>Not Run</x:v>
      </x:c>
      <x:c r="X14" s="53" t="str"/>
      <x:c r="Y14" s="53" t="str">
        <x:v>Yes</x:v>
      </x:c>
      <x:c r="Z14" s="47" t="str">
        <x:v>Current implementation unless explicitly labeled Requires clarification.</x:v>
      </x:c>
    </x:row>
    <x:row r="15" ht="78" customHeight="1">
      <x:c r="A15" s="50" t="str">
        <x:v>EDGE-011</x:v>
      </x:c>
      <x:c r="B15" s="47" t="str">
        <x:v>Edge Cases and Concurrency</x:v>
      </x:c>
      <x:c r="C15" s="47" t="str">
        <x:v>Edge Cases and Concurrency</x:v>
      </x:c>
      <x:c r="D15" s="47" t="str">
        <x:v>Nepal midnight/month/year boundary</x:v>
      </x:c>
      <x:c r="E15" s="47" t="str">
        <x:v>Nepal midnight/month/year boundary</x:v>
      </x:c>
      <x:c r="F15" s="47" t="str">
        <x:v>Nepal midnight/month/year boundary</x:v>
      </x:c>
      <x:c r="G15" s="47" t="str">
        <x:v>Boundary</x:v>
      </x:c>
      <x:c r="H15" s="53" t="str">
        <x:v>P1</x:v>
      </x:c>
      <x:c r="I15" s="53" t="str">
        <x:v>High</x:v>
      </x:c>
      <x:c r="J15" s="47" t="str">
        <x:v>Relevant concurrent/system roles</x:v>
      </x:c>
      <x:c r="K15" s="47" t="str">
        <x:v>Use the reusable two-tenant QA data matrix and current Docker test environment.</x:v>
      </x:c>
      <x:c r="L15" s="47" t="str">
        <x:v>Agency A/B, representative role accounts, public/private records, valid/invalid tokens and deterministic timestamps.</x:v>
      </x:c>
      <x:c r="M15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5" s="47" t="str">
        <x:v>1. Reset/seed deterministic fixtures.
2. Capture initial database/API/UI state.
3. Execute: Nepal midnight/month/year boundary
4. Inspect response, UI, database, logs and downstream modules.
5. Repeat with tenant/role/failure variation where stated.
6. Compare against the pass condition.</x:v>
      </x:c>
      <x:c r="O15" s="47" t="str">
        <x:v>Expiry, follow-up, reminder and appointment comparisons use the same timezone-aware instant.</x:v>
      </x:c>
      <x:c r="P15" s="47" t="str">
        <x:v>Only rows explicitly required by the workflow may change; tenant B and unrelated records remain identical. Verify counts, foreign keys, histories, timestamps and rollback.</x:v>
      </x:c>
      <x:c r="Q15" s="47" t="str">
        <x:v>Use actual endpoints named in the relevant feature sheet/guide. Verify 2xx success and 400/401/403/404/409/429/5xx recovery behavior as applicable.</x:v>
      </x:c>
      <x:c r="R15" s="47" t="str">
        <x:v>UI must reflect server truth after refresh, show safe errors, and expose no unauthorized data.</x:v>
      </x:c>
      <x:c r="S15" s="47" t="str">
        <x:v>Verify notifications, email, scheduler markers, audit/events and external provider calls separately.</x:v>
      </x:c>
      <x:c r="T15" s="47" t="str">
        <x:v>Database transactions, scheduler, external providers</x:v>
      </x:c>
      <x:c r="U15" s="47" t="str">
        <x:v>Retain evidence and restore mutable provider/test fixtures.</x:v>
      </x:c>
      <x:c r="V15" s="47" t="str"/>
      <x:c r="W15" s="53" t="str">
        <x:v>Not Run</x:v>
      </x:c>
      <x:c r="X15" s="53" t="str"/>
      <x:c r="Y15" s="53" t="str">
        <x:v>Yes</x:v>
      </x:c>
      <x:c r="Z15" s="47" t="str">
        <x:v>Current implementation unless explicitly labeled Requires clarification.</x:v>
      </x:c>
    </x:row>
    <x:row r="16" ht="78" customHeight="1">
      <x:c r="A16" s="50" t="str">
        <x:v>EDGE-012</x:v>
      </x:c>
      <x:c r="B16" s="47" t="str">
        <x:v>Edge Cases and Concurrency</x:v>
      </x:c>
      <x:c r="C16" s="47" t="str">
        <x:v>Edge Cases and Concurrency</x:v>
      </x:c>
      <x:c r="D16" s="47" t="str">
        <x:v>BS supported date range boundary</x:v>
      </x:c>
      <x:c r="E16" s="47" t="str">
        <x:v>BS supported date range boundary</x:v>
      </x:c>
      <x:c r="F16" s="47" t="str">
        <x:v>BS supported date range boundary</x:v>
      </x:c>
      <x:c r="G16" s="47" t="str">
        <x:v>Boundary</x:v>
      </x:c>
      <x:c r="H16" s="53" t="str">
        <x:v>P1</x:v>
      </x:c>
      <x:c r="I16" s="53" t="str">
        <x:v>High</x:v>
      </x:c>
      <x:c r="J16" s="47" t="str">
        <x:v>Relevant concurrent/system roles</x:v>
      </x:c>
      <x:c r="K16" s="47" t="str">
        <x:v>Use the reusable two-tenant QA data matrix and current Docker test environment.</x:v>
      </x:c>
      <x:c r="L16" s="47" t="str">
        <x:v>Agency A/B, representative role accounts, public/private records, valid/invalid tokens and deterministic timestamps.</x:v>
      </x:c>
      <x:c r="M16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6" s="47" t="str">
        <x:v>1. Reset/seed deterministic fixtures.
2. Capture initial database/API/UI state.
3. Execute: BS supported date range boundary
4. Inspect response, UI, database, logs and downstream modules.
5. Repeat with tenant/role/failure variation where stated.
6. Compare against the pass condition.</x:v>
      </x:c>
      <x:c r="O16" s="47" t="str">
        <x:v>First/last supported conversions succeed; outside range returns validation error, not 500.</x:v>
      </x:c>
      <x:c r="P16" s="47" t="str">
        <x:v>Only rows explicitly required by the workflow may change; tenant B and unrelated records remain identical. Verify counts, foreign keys, histories, timestamps and rollback.</x:v>
      </x:c>
      <x:c r="Q16" s="47" t="str">
        <x:v>Use actual endpoints named in the relevant feature sheet/guide. Verify 2xx success and 400/401/403/404/409/429/5xx recovery behavior as applicable.</x:v>
      </x:c>
      <x:c r="R16" s="47" t="str">
        <x:v>UI must reflect server truth after refresh, show safe errors, and expose no unauthorized data.</x:v>
      </x:c>
      <x:c r="S16" s="47" t="str">
        <x:v>Verify notifications, email, scheduler markers, audit/events and external provider calls separately.</x:v>
      </x:c>
      <x:c r="T16" s="47" t="str">
        <x:v>Database transactions, scheduler, external providers</x:v>
      </x:c>
      <x:c r="U16" s="47" t="str">
        <x:v>Retain evidence and restore mutable provider/test fixtures.</x:v>
      </x:c>
      <x:c r="V16" s="47" t="str"/>
      <x:c r="W16" s="53" t="str">
        <x:v>Not Run</x:v>
      </x:c>
      <x:c r="X16" s="53" t="str"/>
      <x:c r="Y16" s="53" t="str">
        <x:v>Yes</x:v>
      </x:c>
      <x:c r="Z16" s="47" t="str">
        <x:v>Current implementation unless explicitly labeled Requires clarification.</x:v>
      </x:c>
    </x:row>
    <x:row r="17" ht="78" customHeight="1">
      <x:c r="A17" s="50" t="str">
        <x:v>EDGE-013</x:v>
      </x:c>
      <x:c r="B17" s="47" t="str">
        <x:v>Edge Cases and Concurrency</x:v>
      </x:c>
      <x:c r="C17" s="47" t="str">
        <x:v>Edge Cases and Concurrency</x:v>
      </x:c>
      <x:c r="D17" s="47" t="str">
        <x:v>Empty tenant and zero-data dashboards</x:v>
      </x:c>
      <x:c r="E17" s="47" t="str">
        <x:v>Empty tenant and zero-data dashboards</x:v>
      </x:c>
      <x:c r="F17" s="47" t="str">
        <x:v>Empty tenant and zero-data dashboards</x:v>
      </x:c>
      <x:c r="G17" s="47" t="str">
        <x:v>Edge Case</x:v>
      </x:c>
      <x:c r="H17" s="53" t="str">
        <x:v>P1</x:v>
      </x:c>
      <x:c r="I17" s="53" t="str">
        <x:v>High</x:v>
      </x:c>
      <x:c r="J17" s="47" t="str">
        <x:v>Relevant concurrent/system roles</x:v>
      </x:c>
      <x:c r="K17" s="47" t="str">
        <x:v>Use the reusable two-tenant QA data matrix and current Docker test environment.</x:v>
      </x:c>
      <x:c r="L17" s="47" t="str">
        <x:v>Agency A/B, representative role accounts, public/private records, valid/invalid tokens and deterministic timestamps.</x:v>
      </x:c>
      <x:c r="M17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7" s="47" t="str">
        <x:v>1. Reset/seed deterministic fixtures.
2. Capture initial database/API/UI state.
3. Execute: Empty tenant and zero-data dashboards
4. Inspect response, UI, database, logs and downstream modules.
5. Repeat with tenant/role/failure variation where stated.
6. Compare against the pass condition.</x:v>
      </x:c>
      <x:c r="O17" s="47" t="str">
        <x:v>All pages/APIs show correct empty state and numeric zeros.</x:v>
      </x:c>
      <x:c r="P17" s="47" t="str">
        <x:v>Only rows explicitly required by the workflow may change; tenant B and unrelated records remain identical. Verify counts, foreign keys, histories, timestamps and rollback.</x:v>
      </x:c>
      <x:c r="Q17" s="47" t="str">
        <x:v>Use actual endpoints named in the relevant feature sheet/guide. Verify 2xx success and 400/401/403/404/409/429/5xx recovery behavior as applicable.</x:v>
      </x:c>
      <x:c r="R17" s="47" t="str">
        <x:v>UI must reflect server truth after refresh, show safe errors, and expose no unauthorized data.</x:v>
      </x:c>
      <x:c r="S17" s="47" t="str">
        <x:v>Verify notifications, email, scheduler markers, audit/events and external provider calls separately.</x:v>
      </x:c>
      <x:c r="T17" s="47" t="str">
        <x:v>Database transactions, scheduler, external providers</x:v>
      </x:c>
      <x:c r="U17" s="47" t="str">
        <x:v>Retain evidence and restore mutable provider/test fixtures.</x:v>
      </x:c>
      <x:c r="V17" s="47" t="str"/>
      <x:c r="W17" s="53" t="str">
        <x:v>Not Run</x:v>
      </x:c>
      <x:c r="X17" s="53" t="str"/>
      <x:c r="Y17" s="53" t="str">
        <x:v>Yes</x:v>
      </x:c>
      <x:c r="Z17" s="47" t="str">
        <x:v>Current implementation unless explicitly labeled Requires clarification.</x:v>
      </x:c>
    </x:row>
    <x:row r="18" ht="78" customHeight="1">
      <x:c r="A18" s="50" t="str">
        <x:v>EDGE-014</x:v>
      </x:c>
      <x:c r="B18" s="47" t="str">
        <x:v>Edge Cases and Concurrency</x:v>
      </x:c>
      <x:c r="C18" s="47" t="str">
        <x:v>Edge Cases and Concurrency</x:v>
      </x:c>
      <x:c r="D18" s="47" t="str">
        <x:v>Large page/filter/export payload</x:v>
      </x:c>
      <x:c r="E18" s="47" t="str">
        <x:v>Large page/filter/export payload</x:v>
      </x:c>
      <x:c r="F18" s="47" t="str">
        <x:v>Large page/filter/export payload</x:v>
      </x:c>
      <x:c r="G18" s="47" t="str">
        <x:v>Performance</x:v>
      </x:c>
      <x:c r="H18" s="53" t="str">
        <x:v>P1</x:v>
      </x:c>
      <x:c r="I18" s="53" t="str">
        <x:v>High</x:v>
      </x:c>
      <x:c r="J18" s="47" t="str">
        <x:v>Relevant concurrent/system roles</x:v>
      </x:c>
      <x:c r="K18" s="47" t="str">
        <x:v>Use the reusable two-tenant QA data matrix and current Docker test environment.</x:v>
      </x:c>
      <x:c r="L18" s="47" t="str">
        <x:v>Agency A/B, representative role accounts, public/private records, valid/invalid tokens and deterministic timestamps.</x:v>
      </x:c>
      <x:c r="M18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8" s="47" t="str">
        <x:v>1. Reset/seed deterministic fixtures.
2. Capture initial database/API/UI state.
3. Execute: Large page/filter/export payload
4. Inspect response, UI, database, logs and downstream modules.
5. Repeat with tenant/role/failure variation where stated.
6. Compare against the pass condition.</x:v>
      </x:c>
      <x:c r="O18" s="47" t="str">
        <x:v>Pagination/export remains bounded and tenant-correct; timeouts are handled safely.</x:v>
      </x:c>
      <x:c r="P18" s="47" t="str">
        <x:v>Only rows explicitly required by the workflow may change; tenant B and unrelated records remain identical. Verify counts, foreign keys, histories, timestamps and rollback.</x:v>
      </x:c>
      <x:c r="Q18" s="47" t="str">
        <x:v>Use actual endpoints named in the relevant feature sheet/guide. Verify 2xx success and 400/401/403/404/409/429/5xx recovery behavior as applicable.</x:v>
      </x:c>
      <x:c r="R18" s="47" t="str">
        <x:v>UI must reflect server truth after refresh, show safe errors, and expose no unauthorized data.</x:v>
      </x:c>
      <x:c r="S18" s="47" t="str">
        <x:v>Verify notifications, email, scheduler markers, audit/events and external provider calls separately.</x:v>
      </x:c>
      <x:c r="T18" s="47" t="str">
        <x:v>Database transactions, scheduler, external providers</x:v>
      </x:c>
      <x:c r="U18" s="47" t="str">
        <x:v>Retain evidence and restore mutable provider/test fixtures.</x:v>
      </x:c>
      <x:c r="V18" s="47" t="str"/>
      <x:c r="W18" s="53" t="str">
        <x:v>Not Run</x:v>
      </x:c>
      <x:c r="X18" s="53" t="str"/>
      <x:c r="Y18" s="53" t="str">
        <x:v>Yes</x:v>
      </x:c>
      <x:c r="Z18" s="47" t="str">
        <x:v>Current implementation unless explicitly labeled Requires clarification.</x:v>
      </x:c>
    </x:row>
    <x:row r="19" ht="78" customHeight="1">
      <x:c r="A19" s="50" t="str">
        <x:v>EDGE-015</x:v>
      </x:c>
      <x:c r="B19" s="47" t="str">
        <x:v>Edge Cases and Concurrency</x:v>
      </x:c>
      <x:c r="C19" s="47" t="str">
        <x:v>Edge Cases and Concurrency</x:v>
      </x:c>
      <x:c r="D19" s="47" t="str">
        <x:v>External provider succeeds but client times out</x:v>
      </x:c>
      <x:c r="E19" s="47" t="str">
        <x:v>External provider succeeds but client times out</x:v>
      </x:c>
      <x:c r="F19" s="47" t="str">
        <x:v>External provider succeeds but client times out</x:v>
      </x:c>
      <x:c r="G19" s="47" t="str">
        <x:v>Recovery</x:v>
      </x:c>
      <x:c r="H19" s="53" t="str">
        <x:v>P0</x:v>
      </x:c>
      <x:c r="I19" s="53" t="str">
        <x:v>Critical</x:v>
      </x:c>
      <x:c r="J19" s="47" t="str">
        <x:v>Relevant concurrent/system roles</x:v>
      </x:c>
      <x:c r="K19" s="47" t="str">
        <x:v>Use the reusable two-tenant QA data matrix and current Docker test environment.</x:v>
      </x:c>
      <x:c r="L19" s="47" t="str">
        <x:v>Agency A/B, representative role accounts, public/private records, valid/invalid tokens and deterministic timestamps.</x:v>
      </x:c>
      <x:c r="M19" s="47" t="str">
        <x:v>Docker Compose: PostgreSQL 16, Django/Gunicorn API on :8000, scheduler loop, React/Vite agency UI, and Next.js storefront on :3000. Use browser DevTools, an API client, application logs, and read-only PostgreSQL access.</x:v>
      </x:c>
      <x:c r="N19" s="47" t="str">
        <x:v>1. Reset/seed deterministic fixtures.
2. Capture initial database/API/UI state.
3. Execute: External provider succeeds but client times out
4. Inspect response, UI, database, logs and downstream modules.
5. Repeat with tenant/role/failure variation where stated.
6. Compare against the pass condition.</x:v>
      </x:c>
      <x:c r="O19" s="47" t="str">
        <x:v>Retry does not duplicate Stripe/Meta/logical create effects where IDs/dedup exist.</x:v>
      </x:c>
      <x:c r="P19" s="47" t="str">
        <x:v>Only rows explicitly required by the workflow may change; tenant B and unrelated records remain identical. Verify counts, foreign keys, histories, timestamps and rollback.</x:v>
      </x:c>
      <x:c r="Q19" s="47" t="str">
        <x:v>Use actual endpoints named in the relevant feature sheet/guide. Verify 2xx success and 400/401/403/404/409/429/5xx recovery behavior as applicable.</x:v>
      </x:c>
      <x:c r="R19" s="47" t="str">
        <x:v>UI must reflect server truth after refresh, show safe errors, and expose no unauthorized data.</x:v>
      </x:c>
      <x:c r="S19" s="47" t="str">
        <x:v>Verify notifications, email, scheduler markers, audit/events and external provider calls separately.</x:v>
      </x:c>
      <x:c r="T19" s="47" t="str">
        <x:v>Database transactions, scheduler, external providers</x:v>
      </x:c>
      <x:c r="U19" s="47" t="str">
        <x:v>Retain evidence and restore mutable provider/test fixtures.</x:v>
      </x:c>
      <x:c r="V19" s="47" t="str"/>
      <x:c r="W19" s="53" t="str">
        <x:v>Not Run</x:v>
      </x:c>
      <x:c r="X19" s="53" t="str"/>
      <x:c r="Y19" s="53" t="str">
        <x:v>Maybe</x:v>
      </x:c>
      <x:c r="Z19" s="47" t="str">
        <x:v>Current implementation unless explicitly labeled Requires clarification.</x:v>
      </x:c>
    </x:row>
    <x:row r="20" ht="78" customHeight="1">
      <x:c r="A20" s="51" t="str">
        <x:v>EDGE-016</x:v>
      </x:c>
      <x:c r="B20" s="48" t="str">
        <x:v>Edge Cases and Concurrency</x:v>
      </x:c>
      <x:c r="C20" s="48" t="str">
        <x:v>Edge Cases and Concurrency</x:v>
      </x:c>
      <x:c r="D20" s="48" t="str">
        <x:v>Database failure mid-side-effect</x:v>
      </x:c>
      <x:c r="E20" s="48" t="str">
        <x:v>Database failure mid-side-effect</x:v>
      </x:c>
      <x:c r="F20" s="48" t="str">
        <x:v>Database failure mid-side-effect</x:v>
      </x:c>
      <x:c r="G20" s="48" t="str">
        <x:v>Recovery</x:v>
      </x:c>
      <x:c r="H20" s="54" t="str">
        <x:v>P0</x:v>
      </x:c>
      <x:c r="I20" s="54" t="str">
        <x:v>Critical</x:v>
      </x:c>
      <x:c r="J20" s="48" t="str">
        <x:v>Relevant concurrent/system roles</x:v>
      </x:c>
      <x:c r="K20" s="48" t="str">
        <x:v>Use the reusable two-tenant QA data matrix and current Docker test environment.</x:v>
      </x:c>
      <x:c r="L20" s="48" t="str">
        <x:v>Agency A/B, representative role accounts, public/private records, valid/invalid tokens and deterministic timestamps.</x:v>
      </x:c>
      <x:c r="M20" s="48" t="str">
        <x:v>Docker Compose: PostgreSQL 16, Django/Gunicorn API on :8000, scheduler loop, React/Vite agency UI, and Next.js storefront on :3000. Use browser DevTools, an API client, application logs, and read-only PostgreSQL access.</x:v>
      </x:c>
      <x:c r="N20" s="48" t="str">
        <x:v>1. Reset/seed deterministic fixtures.
2. Capture initial database/API/UI state.
3. Execute: Database failure mid-side-effect
4. Inspect response, UI, database, logs and downstream modules.
5. Repeat with tenant/role/failure variation where stated.
6. Compare against the pass condition.</x:v>
      </x:c>
      <x:c r="O20" s="48" t="str">
        <x:v>Transaction leaves no orphan/half-applied relationship; nontransactional external result is surfaced for reconciliation.</x:v>
      </x:c>
      <x:c r="P20" s="48" t="str">
        <x:v>Only rows explicitly required by the workflow may change; tenant B and unrelated records remain identical. Verify counts, foreign keys, histories, timestamps and rollback.</x:v>
      </x:c>
      <x:c r="Q20" s="48" t="str">
        <x:v>Use actual endpoints named in the relevant feature sheet/guide. Verify 2xx success and 400/401/403/404/409/429/5xx recovery behavior as applicable.</x:v>
      </x:c>
      <x:c r="R20" s="48" t="str">
        <x:v>UI must reflect server truth after refresh, show safe errors, and expose no unauthorized data.</x:v>
      </x:c>
      <x:c r="S20" s="48" t="str">
        <x:v>Verify notifications, email, scheduler markers, audit/events and external provider calls separately.</x:v>
      </x:c>
      <x:c r="T20" s="48" t="str">
        <x:v>Database transactions, scheduler, external providers</x:v>
      </x:c>
      <x:c r="U20" s="48" t="str">
        <x:v>Retain evidence and restore mutable provider/test fixtures.</x:v>
      </x:c>
      <x:c r="V20" s="48" t="str"/>
      <x:c r="W20" s="54" t="str">
        <x:v>Not Run</x:v>
      </x:c>
      <x:c r="X20" s="54" t="str"/>
      <x:c r="Y20" s="54" t="str">
        <x:v>Maybe</x:v>
      </x:c>
      <x:c r="Z20" s="48" t="str">
        <x:v>Current implementation unless explicitly labeled Requires clarification.</x:v>
      </x:c>
    </x:row>
  </x:sheetData>
  <x:mergeCells>
    <x:mergeCell ref="A1:Z1"/>
    <x:mergeCell ref="A2:Z2"/>
  </x:mergeCells>
  <x:conditionalFormatting sqref="H5:H20">
    <x:cfRule type="expression" dxfId="240" priority="1">
      <x:formula>H5="P0"</x:formula>
    </x:cfRule>
    <x:cfRule type="expression" dxfId="241" priority="2">
      <x:formula>H5="P1"</x:formula>
    </x:cfRule>
    <x:cfRule type="expression" dxfId="242" priority="3">
      <x:formula>H5="P2"</x:formula>
    </x:cfRule>
    <x:cfRule type="expression" dxfId="243" priority="4">
      <x:formula>H5="P3"</x:formula>
    </x:cfRule>
  </x:conditionalFormatting>
  <x:conditionalFormatting sqref="W5:W20">
    <x:cfRule type="expression" dxfId="244" priority="5">
      <x:formula>W5="Passed"</x:formula>
    </x:cfRule>
    <x:cfRule type="expression" dxfId="245" priority="6">
      <x:formula>W5="Failed"</x:formula>
    </x:cfRule>
    <x:cfRule type="expression" dxfId="246" priority="7">
      <x:formula>W5="Blocked"</x:formula>
    </x:cfRule>
    <x:cfRule type="expression" dxfId="247" priority="8">
      <x:formula>W5="Skipped"</x:formula>
    </x:cfRule>
  </x:conditionalFormatting>
  <x:dataValidations count="4">
    <x:dataValidation type="list" sqref="H5:H20">
      <x:formula1>"P0,P1,P2,P3"</x:formula1>
    </x:dataValidation>
    <x:dataValidation type="list" sqref="I5:I20">
      <x:formula1>"Critical,High,Medium,Low"</x:formula1>
    </x:dataValidation>
    <x:dataValidation type="list" sqref="W5:W20">
      <x:formula1>"Not Run,Passed,Failed,Blocked,Skipped"</x:formula1>
    </x:dataValidation>
    <x:dataValidation type="list" sqref="Y5:Y20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a4dd5a89094f26"/>
  </x:tableParts>
</x:worksheet>
</file>